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mc:AlternateContent xmlns:mc="http://schemas.openxmlformats.org/markup-compatibility/2006">
    <mc:Choice Requires="x15">
      <x15ac:absPath xmlns:x15ac="http://schemas.microsoft.com/office/spreadsheetml/2010/11/ac" url="https://uquadmin-my.sharepoint.com/personal/s44680217_uqu_edu_sa/Documents/GP_Master_Degree/"/>
    </mc:Choice>
  </mc:AlternateContent>
  <xr:revisionPtr revIDLastSave="212" documentId="8_{061F3413-F0DC-4024-9E8A-55FCCDA67AA9}" xr6:coauthVersionLast="47" xr6:coauthVersionMax="47" xr10:uidLastSave="{3ED2350D-55F9-4377-97D9-1AF27CC2536B}"/>
  <bookViews>
    <workbookView xWindow="-110" yWindow="-110" windowWidth="21820" windowHeight="13900" activeTab="6" xr2:uid="{D2616AAA-B04B-467A-89C4-3B4A40038799}"/>
  </bookViews>
  <sheets>
    <sheet name="PICOC &amp; RQs" sheetId="7" r:id="rId1"/>
    <sheet name="search terms" sheetId="2" r:id="rId2"/>
    <sheet name="queries" sheetId="1" r:id="rId3"/>
    <sheet name="databases" sheetId="6" r:id="rId4"/>
    <sheet name="search hits" sheetId="3" r:id="rId5"/>
    <sheet name="inclusion criteria" sheetId="4" r:id="rId6"/>
    <sheet name="exclusion criteria" sheetId="5" r:id="rId7"/>
    <sheet name="QA rubrics" sheetId="9" r:id="rId8"/>
    <sheet name="data extraction &amp; scores" sheetId="8" r:id="rId9"/>
  </sheets>
  <definedNames>
    <definedName name="_xlnm._FilterDatabase" localSheetId="8" hidden="1">'data extraction &amp; scores'!$W$1:$W$40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9" i="3" l="1" a="1"/>
  <c r="B49" i="3" s="1"/>
  <c r="B48" i="3" a="1"/>
  <c r="B48" i="3" s="1"/>
  <c r="B46" i="3" a="1"/>
  <c r="B46" i="3" s="1"/>
  <c r="B47" i="3" a="1"/>
  <c r="B47" i="3" s="1"/>
  <c r="B51" i="3"/>
  <c r="D45" i="3"/>
  <c r="B50" i="3"/>
  <c r="E8" i="1"/>
  <c r="AK3" i="8"/>
  <c r="AK4" i="8"/>
  <c r="AK5" i="8"/>
  <c r="AK6" i="8"/>
  <c r="AK7" i="8"/>
  <c r="AK8" i="8"/>
  <c r="AK9" i="8"/>
  <c r="AK10" i="8"/>
  <c r="AK11" i="8"/>
  <c r="AK12" i="8"/>
  <c r="AK13" i="8"/>
  <c r="AK14" i="8"/>
  <c r="AK15" i="8"/>
  <c r="AK16" i="8"/>
  <c r="AK17" i="8"/>
  <c r="AK18" i="8"/>
  <c r="AK19" i="8"/>
  <c r="AK20" i="8"/>
  <c r="AK2" i="8"/>
  <c r="B52" i="3" l="1"/>
  <c r="D8" i="1"/>
  <c r="C38" i="3" l="1"/>
  <c r="C39" i="3"/>
  <c r="D2" i="1"/>
  <c r="D5" i="1"/>
  <c r="E5" i="1" s="1"/>
  <c r="D4" i="1"/>
  <c r="E4" i="1" s="1"/>
  <c r="D7" i="1"/>
  <c r="E7" i="1" s="1"/>
  <c r="C36" i="3" l="1"/>
  <c r="C24" i="3"/>
  <c r="E2" i="1"/>
  <c r="C7" i="3"/>
  <c r="C37" i="3"/>
  <c r="C21" i="3"/>
  <c r="C34" i="3"/>
  <c r="C19" i="3"/>
  <c r="C6" i="3"/>
  <c r="C25" i="3"/>
  <c r="C3" i="3"/>
  <c r="C33" i="3"/>
  <c r="C32" i="3"/>
  <c r="C4" i="3"/>
  <c r="C18" i="3"/>
  <c r="C15" i="3"/>
  <c r="D3" i="1"/>
  <c r="D6" i="1"/>
  <c r="E6" i="1" l="1"/>
  <c r="C28" i="3"/>
  <c r="C27" i="3"/>
  <c r="C30" i="3"/>
  <c r="C31" i="3"/>
  <c r="E3" i="1"/>
  <c r="C9" i="3"/>
  <c r="C12" i="3"/>
  <c r="C13"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<sst xmlns="http://schemas.openxmlformats.org/spreadsheetml/2006/main" count="984" uniqueCount="684">
  <si>
    <t>PICOC Element</t>
  </si>
  <si>
    <t>Description</t>
  </si>
  <si>
    <t>Problem</t>
  </si>
  <si>
    <t>Intervention</t>
  </si>
  <si>
    <t>Comparison</t>
  </si>
  <si>
    <t>Outcome</t>
  </si>
  <si>
    <t>Context</t>
  </si>
  <si>
    <t>RQs</t>
  </si>
  <si>
    <t>Purpose</t>
  </si>
  <si>
    <t>Question Stem</t>
  </si>
  <si>
    <t>PICOC</t>
  </si>
  <si>
    <t>Key term</t>
  </si>
  <si>
    <t>Synonyms / Related Terms</t>
  </si>
  <si>
    <t>P</t>
  </si>
  <si>
    <t>I</t>
  </si>
  <si>
    <t>Ctx</t>
  </si>
  <si>
    <t>Query ID</t>
  </si>
  <si>
    <t>Core keywords</t>
  </si>
  <si>
    <t>Expanded</t>
  </si>
  <si>
    <t>#tokens</t>
  </si>
  <si>
    <t>Q1</t>
  </si>
  <si>
    <t>Q2</t>
  </si>
  <si>
    <t>Q3</t>
  </si>
  <si>
    <t>Q4</t>
  </si>
  <si>
    <t>Q5</t>
  </si>
  <si>
    <t>No.</t>
  </si>
  <si>
    <t>Database</t>
  </si>
  <si>
    <t>Abbreviation</t>
  </si>
  <si>
    <t>D1</t>
  </si>
  <si>
    <t>IEEE Xplore</t>
  </si>
  <si>
    <t>ieee</t>
  </si>
  <si>
    <t>D2</t>
  </si>
  <si>
    <t>ACM Digital Library</t>
  </si>
  <si>
    <t>acm</t>
  </si>
  <si>
    <t>D3</t>
  </si>
  <si>
    <t>Scopus</t>
  </si>
  <si>
    <t>scopus</t>
  </si>
  <si>
    <t>D5</t>
  </si>
  <si>
    <t>ScienceDirect</t>
  </si>
  <si>
    <t>scidir</t>
  </si>
  <si>
    <t>D6</t>
  </si>
  <si>
    <t>SpringerLink</t>
  </si>
  <si>
    <t>springer</t>
  </si>
  <si>
    <t>D7</t>
  </si>
  <si>
    <t>arXiv.org</t>
  </si>
  <si>
    <t>arxiv</t>
  </si>
  <si>
    <t>Query String</t>
  </si>
  <si>
    <t>Hits</t>
  </si>
  <si>
    <t>Notes</t>
  </si>
  <si>
    <t>File Path</t>
  </si>
  <si>
    <t>Name</t>
  </si>
  <si>
    <t>Inclusion Criterion</t>
  </si>
  <si>
    <t>Rationale (why)</t>
  </si>
  <si>
    <t>Exclusion Criterion</t>
  </si>
  <si>
    <t>Criterion Group</t>
  </si>
  <si>
    <t>Assessment Question</t>
  </si>
  <si>
    <t>Scoring Guide</t>
  </si>
  <si>
    <t>Interpretation:</t>
  </si>
  <si>
    <t>Total QA Score</t>
  </si>
  <si>
    <t>Conventional or rule-based spike encoders (e.g., rate, latency, phase coding) used in hybrid or pure SNNs.</t>
  </si>
  <si>
    <t>Quantitative results for model performance (e.g., accuracy), computational efficiency (e.g., energy, spike count), training stability, and/or biological plausibility.</t>
  </si>
  <si>
    <t>Empirical studies conducted using standard neuromorphic datasets (e.g., DVS Gesture, N-MNIST, SHD) and evaluated under both software simulation environments and neuromorphic hardware platforms.</t>
  </si>
  <si>
    <t>RQ3. What datasets, benchmarks, and evaluation metrics are most commonly used in existing studies?</t>
  </si>
  <si>
    <t>RQ4. What limitations and research gaps remain in developing biologically plausible and energy-efficient encoding strategies?</t>
  </si>
  <si>
    <t>RQ2. How have these mechanisms influenced model performance, computational efficiency, and training behavior compared with traditional fixed encoding methods?</t>
  </si>
  <si>
    <t>To systematically catalog and characterize the landscape of existing learnable encoding methods, providing a comprehensive taxonomy of approaches and their technical implementations.</t>
  </si>
  <si>
    <t>To quantitatively assess the empirical benefits and trade-offs of learnable encoding methods, determining whether they provide meaningful improvements over traditional approaches.</t>
  </si>
  <si>
    <t>To identify standardization practices and methodological consistencies (or lack thereof) in the field, revealing community norms and evaluation gaps.</t>
  </si>
  <si>
    <t>To synthesize critical challenges and identify promising future research directions that could advance both theoretical understanding and practical applications.</t>
  </si>
  <si>
    <t>"event-based dataset*" OR "DVS Gesture" OR "N-MNIST" OR "SHD" OR "Spiking Heidelberg Digits" OR "CIFAR-10-DVS" OR "neuromorphic benchmark"</t>
  </si>
  <si>
    <t>"software simulation" OR "neuromorphic hardware" OR "Loihi" OR "SpiNNaker" OR "TrueNorth" OR "BindsNET" OR "snnTorch" OR "neuromorphic simulator"</t>
  </si>
  <si>
    <t>Spiking neural network*</t>
  </si>
  <si>
    <t>Hybrid ANN-SNN</t>
  </si>
  <si>
    <t>Neuromorphic dataset*</t>
  </si>
  <si>
    <t>Simulation framework*</t>
  </si>
  <si>
    <t>Learnable encoding</t>
  </si>
  <si>
    <t>Adaptive encoding</t>
  </si>
  <si>
    <t>"Spiking neural network*" OR "SNN" OR "neuromorphic network*" OR "deep spiking network*" OR "pulsed neural network*" OR "event-driven neural network" OR "event-based spiking network"</t>
  </si>
  <si>
    <t>"Hybrid ANN-SNN" OR "ANN-SNN conversion" OR "hybrid neural network*" OR "hybrid spiking network*" OR "artificial and spiking neural network*"</t>
  </si>
  <si>
    <t xml:space="preserve"> "Learnable encoding" OR "Adaptive encoding" OR "learnable spike encoding" OR "adaptive spike encoding" OR "trainable encoder" OR "differentiable encoding" OR "plastic encoding" OR "adaptive threshold encoding" OR "learnable threshold" OR "surrogate gradient"</t>
  </si>
  <si>
    <t>i1</t>
  </si>
  <si>
    <t>i2</t>
  </si>
  <si>
    <t>i3</t>
  </si>
  <si>
    <t>i4</t>
  </si>
  <si>
    <t>i5</t>
  </si>
  <si>
    <t>i6</t>
  </si>
  <si>
    <r>
      <rPr>
        <b/>
        <sz val="11"/>
        <color theme="1"/>
        <rFont val="Aptos Narrow"/>
        <family val="2"/>
        <scheme val="minor"/>
      </rPr>
      <t>Language:</t>
    </r>
    <r>
      <rPr>
        <sz val="11"/>
        <color theme="1"/>
        <rFont val="Aptos Narrow"/>
        <family val="2"/>
        <charset val="178"/>
        <scheme val="minor"/>
      </rPr>
      <t xml:space="preserve"> English</t>
    </r>
  </si>
  <si>
    <r>
      <rPr>
        <b/>
        <sz val="11"/>
        <color theme="1"/>
        <rFont val="Aptos Narrow"/>
        <family val="2"/>
        <scheme val="minor"/>
      </rPr>
      <t>Time Range:</t>
    </r>
    <r>
      <rPr>
        <sz val="11"/>
        <color theme="1"/>
        <rFont val="Aptos Narrow"/>
        <family val="2"/>
        <charset val="178"/>
        <scheme val="minor"/>
      </rPr>
      <t xml:space="preserve"> 2015-2025</t>
    </r>
  </si>
  <si>
    <r>
      <rPr>
        <b/>
        <sz val="11"/>
        <color theme="1"/>
        <rFont val="Aptos Narrow"/>
        <family val="2"/>
        <scheme val="minor"/>
      </rPr>
      <t>Accessibility:</t>
    </r>
    <r>
      <rPr>
        <sz val="11"/>
        <color theme="1"/>
        <rFont val="Aptos Narrow"/>
        <family val="2"/>
        <charset val="178"/>
        <scheme val="minor"/>
      </rPr>
      <t xml:space="preserve"> Studies that are fully accessible to the public, with complete full-text available online without subscription or institutional login (i.e., openly accessible to any reader).</t>
    </r>
  </si>
  <si>
    <t>English-language restriction guarantees consistency in interpretation and quality assessment while avoiding translation bias. Nearly all core SNN research is published in English.</t>
  </si>
  <si>
    <t>Targets studies contributing novel or comparative insights into adaptive encoding strategies, aligning directly with the main research questions on learnability and adaptation.</t>
  </si>
  <si>
    <t>Ensures transparency, verifiability, and reproducibility of findings by restricting inclusion to open-access literature that can be independently examined.</t>
  </si>
  <si>
    <t>Limits the corpus to a relevant modern decade of SNN research, capturing advances in hybrid ANN–SNN integration and learnable encoding emerging after major deep-learning breakthroughs.</t>
  </si>
  <si>
    <t>e1</t>
  </si>
  <si>
    <t>e2</t>
  </si>
  <si>
    <t>e3</t>
  </si>
  <si>
    <t>e4</t>
  </si>
  <si>
    <t>e5</t>
  </si>
  <si>
    <t>e6</t>
  </si>
  <si>
    <r>
      <rPr>
        <b/>
        <sz val="11"/>
        <color theme="1"/>
        <rFont val="Aptos Narrow"/>
        <family val="2"/>
        <scheme val="minor"/>
      </rPr>
      <t>Publication Type:</t>
    </r>
    <r>
      <rPr>
        <sz val="11"/>
        <color theme="1"/>
        <rFont val="Aptos Narrow"/>
        <family val="2"/>
        <charset val="178"/>
        <scheme val="minor"/>
      </rPr>
      <t xml:space="preserve"> Books, theses, editorials, non-peer-reviewed workshop papers.</t>
    </r>
  </si>
  <si>
    <r>
      <rPr>
        <b/>
        <sz val="11"/>
        <color theme="1"/>
        <rFont val="Aptos Narrow"/>
        <family val="2"/>
        <scheme val="minor"/>
      </rPr>
      <t>Language:</t>
    </r>
    <r>
      <rPr>
        <sz val="11"/>
        <color theme="1"/>
        <rFont val="Aptos Narrow"/>
        <family val="2"/>
        <charset val="178"/>
        <scheme val="minor"/>
      </rPr>
      <t xml:space="preserve"> Non-English publications.</t>
    </r>
  </si>
  <si>
    <r>
      <rPr>
        <b/>
        <sz val="11"/>
        <color theme="1"/>
        <rFont val="Aptos Narrow"/>
        <family val="2"/>
        <scheme val="minor"/>
      </rPr>
      <t>Accessibility:</t>
    </r>
    <r>
      <rPr>
        <sz val="11"/>
        <color theme="1"/>
        <rFont val="Aptos Narrow"/>
        <family val="2"/>
        <charset val="178"/>
        <scheme val="minor"/>
      </rPr>
      <t xml:space="preserve"> Publications behind paywalls, requiring institutional or paid access, or providing only abstracts or partial previews.</t>
    </r>
  </si>
  <si>
    <t>Excludes materials lacking formal peer review or research validation to ensure only rigorously evaluated scientific contributions are considered.</t>
  </si>
  <si>
    <t>Eliminates translation bias and ensures consistent interpretation and quality assessment, since most primary SNN studies are published in English.</t>
  </si>
  <si>
    <t>Guarantees transparency and reproducibility by including only fully accessible, verifiable studies that can be independently reviewed.</t>
  </si>
  <si>
    <t>Restricts the scope to the modern era of deep learning–driven SNN and hybrid ANN–SNN research, ensuring the inclusion of up-to-date and methodologically relevant studies.</t>
  </si>
  <si>
    <t>acm_q1.bib</t>
  </si>
  <si>
    <t>ieee_q1.bib</t>
  </si>
  <si>
    <t>scidir_q1.bib</t>
  </si>
  <si>
    <t>scopus_q1.bib</t>
  </si>
  <si>
    <t>springer_q1.bib</t>
  </si>
  <si>
    <t>Q6</t>
  </si>
  <si>
    <t>"Spiking neural network*" AND "Hybrid ANN-SNN" AND "Simulation framework*"</t>
  </si>
  <si>
    <t>To find studies on hybrid ANN–SNN models using learnable or adaptive spike-encoding mechanisms.</t>
  </si>
  <si>
    <t>To locate studies on hybrid ANN–SNN models implemented or tested using neuromorphic hardware or simulation platforms.</t>
  </si>
  <si>
    <t>ieee_q2.bib</t>
  </si>
  <si>
    <t>scopus_q2.bib</t>
  </si>
  <si>
    <t>scidir_q2.bib</t>
  </si>
  <si>
    <t>springer_q2.bib</t>
  </si>
  <si>
    <t>arxiv_q2.bib</t>
  </si>
  <si>
    <t>acm_q3.bib</t>
  </si>
  <si>
    <t>ieee_q3.bib</t>
  </si>
  <si>
    <t>scopus_q3.bib</t>
  </si>
  <si>
    <t>scidir_q3.bib</t>
  </si>
  <si>
    <t>springer_q3.bib</t>
  </si>
  <si>
    <t>arxiv_q3.bib</t>
  </si>
  <si>
    <t>acm_q4.bib</t>
  </si>
  <si>
    <t>ieee_q4.bib</t>
  </si>
  <si>
    <t>scopus_q4.bib</t>
  </si>
  <si>
    <t>scidir_q4.bib</t>
  </si>
  <si>
    <t>springer_q4.bib</t>
  </si>
  <si>
    <t>arxiv_q4.bib</t>
  </si>
  <si>
    <t>acm_q5.bib</t>
  </si>
  <si>
    <t>ieee_q5.bib</t>
  </si>
  <si>
    <t>scopus_q5.bib</t>
  </si>
  <si>
    <t>scidir_q5.bib</t>
  </si>
  <si>
    <t>springer_q5.bib</t>
  </si>
  <si>
    <t>arxiv_q5.bib</t>
  </si>
  <si>
    <t>acm_q6.bib</t>
  </si>
  <si>
    <t>ieee_q6.bib</t>
  </si>
  <si>
    <t>scopus_q6.bib</t>
  </si>
  <si>
    <t>scidir_q6.bib</t>
  </si>
  <si>
    <t>springer_q6.bib</t>
  </si>
  <si>
    <t>arxiv_q6.bib</t>
  </si>
  <si>
    <t>"Neuromorphic dataset*" AND "Simulation framework*" AND "Adaptive encoding"</t>
  </si>
  <si>
    <t>C</t>
  </si>
  <si>
    <t>Traditional encoding</t>
  </si>
  <si>
    <t>"Spiking neural network*" AND "Hybrid ANN-SNN" AND "Neuromorphic dataset*" AND "Traditional encoding"</t>
  </si>
  <si>
    <t>"Adaptive encoding" AND "Neuromorphic dataset*" AND "Traditional encoding"</t>
  </si>
  <si>
    <t xml:space="preserve"> ("Learnable encoding" OR "Adaptive encoding") AND "Spiking neural network*" AND "Simulation framework*"</t>
  </si>
  <si>
    <t>"TTFS" OR "time-to-first-spike" OR "static" OR "hand-crafted" OR "conventional" OR "rule-based" OR "traditional encoding" OR "rate" OR "temporal encoding" OR "population encoding" OR "direct encoding" OR "latency" OR "fixed threshold" OR "non-adaptive" OR "Poisson"</t>
  </si>
  <si>
    <t xml:space="preserve">"Spiking neural network*" AND "Hybrid ANN-SNN" AND ("Learnable encoding" OR "Adaptive encoding") </t>
  </si>
  <si>
    <t>("Full Text &amp; Metadata":"Spiking neural network*" OR "Full Text &amp; Metadata":"SNN" OR "Full Text &amp; Metadata":"neuromorphic network*" OR "Full Text &amp; Metadata":"deep spiking network*" OR "Full Text &amp; Metadata":"pulsed neural network*" OR "Full Text &amp; Metadata":"event-driven neural network" OR "Full Text &amp; Metadata":"event-based spiking network") AND ("Full Text &amp; Metadata":"Hybrid ANN-SNN" OR "Full Text &amp; Metadata":"ANN-SNN conversion" OR "Full Text &amp; Metadata":"hybrid neural network*" OR "Full Text &amp; Metadata":"hybrid spiking network*" OR "Full Text &amp; Metadata":"artificial and spiking neural network*") AND ("Full Text &amp; Metadata":"Learnable encoding" OR "Full Text &amp; Metadata":"Adaptive encoding" OR "Full Text &amp; Metadata":"learnable spike encoding" OR "Full Text &amp; Metadata":"adaptive spike encoding" OR "Full Text &amp; Metadata":"trainable encoder" OR "Full Text &amp; Metadata":"differentiable encoding" OR "Full Text &amp; Metadata":"plastic encoding" OR "Full Text &amp; Metadata":"adaptive threshold encoding" OR "Full Text &amp; Metadata":"learnable threshold" OR "Full Text &amp; Metadata":"surrogate gradient")</t>
  </si>
  <si>
    <t>Advanced search (Full Text &amp; Metadata);  Filters Applied: Journals + Early Access+ open access only+ Articles 01/01/2015 - 11/07/2025</t>
  </si>
  <si>
    <t xml:space="preserve">Scopus </t>
  </si>
  <si>
    <t xml:space="preserve">Advanced Search: Search within anywhere; Custom Range (jan-2015; Nov-2025) </t>
  </si>
  <si>
    <t>advanced search across all fields (title, abstract, keywords, and full text);  custom dates (2015-2025)</t>
  </si>
  <si>
    <t>advanced search across all fields (title, abstract, keywords, and full text); Filters:  custom dates (2015-2025); English; Open access</t>
  </si>
  <si>
    <t>("Full Text &amp; Metadata":"Learnable encoding" OR "Full Text &amp; Metadata":"Adaptive encoding" OR "Full Text &amp; Metadata":"learnable spike encoding" OR "Full Text &amp; Metadata":"adaptive spike encoding" OR "Full Text &amp; Metadata":"trainable encoder" OR "Full Text &amp; Metadata":"differentiable encoding" OR "Full Text &amp; Metadata":"plastic encoding" OR "Full Text &amp; Metadata":"adaptive threshold encoding" OR "Full Text &amp; Metadata":"learnable threshold" OR "Full Text &amp; Metadata":"surrogate gradient") AND ("Full Text &amp; Metadata":"event-based dataset*" OR "Full Text &amp; Metadata":"DVS Gesture" OR "Full Text &amp; Metadata":"N-MNIST" OR "Full Text &amp; Metadata":"SHD" OR "Full Text &amp; Metadata":"Spiking Heidelberg Digits" OR "Full Text &amp; Metadata":"CIFAR-10-DVS" OR "Full Text &amp; Metadata":"neuromorphic benchmark") AND ("Full Text &amp; Metadata":"TTFS" OR "Full Text &amp; Metadata":"time-to-first-spike" OR "Full Text &amp; Metadata":"static" OR "Full Text &amp; Metadata":"hand-crafted" OR "Full Text &amp; Metadata":"conventional" OR "Full Text &amp; Metadata":"rule-based" OR "Full Text &amp; Metadata":"traditional encoding" OR "Full Text &amp; Metadata":"rate" OR "Full Text &amp; Metadata":"temporal encoding" OR "Full Text &amp; Metadata":"population encoding" OR "Full Text &amp; Metadata":"direct encoding" OR "Full Text &amp; Metadata":"latency" OR "Full Text &amp; Metadata":"fixed threshold" OR "Full Text &amp; Metadata":"non-adaptive" OR "Full Text &amp; Metadata":"Poisson")</t>
  </si>
  <si>
    <t>Advanced Search: Search within anywhere; filters: Proceedings, Research Article, January 2015 - November 2025</t>
  </si>
  <si>
    <t>Advanced search (TITLE-ABS-KEY); filter applied: limited to English, All open access =&gt; includes Gold, Green, Hybrid gold</t>
  </si>
  <si>
    <t>advanced search across all fields (title, abstract, keywords, and full text); limited to publications written in English, published between 2015 and 2025, and classified as Articles, Research Articles, Conference Papers, or Review Articles. The Open Access filter was also applied to ensure accessibility.</t>
  </si>
  <si>
    <t>( "Learnable encoding" OR "Adaptive encoding" OR "learnable spike encoding" OR "adaptive spike encoding" OR "trainable encoder" OR "differentiable encoding" OR "adaptive threshold encoding" OR "learnable threshold" OR "surrogate gradient")
("event-based dataset" OR "DVS Gesture" OR "N-MNIST" OR "SHD" OR "Spiking Heidelberg Digits" OR "CIFAR-10-DVS") AND ("TTFS" OR "time-to-first-spike" OR "static" )</t>
  </si>
  <si>
    <t>Q2 searched using two sub-queries: (1) Title/Abstract/Keywords – learnable/adaptive encoding terms, and (2) All Fields – event-based dataset and temporal-encoding terms (e.g., TTFS, static). Filter: Open Access.</t>
  </si>
  <si>
    <t>("Full Text &amp; Metadata":"event-based dataset*" OR "Full Text &amp; Metadata":"DVS Gesture" OR "Full Text &amp; Metadata":"N-MNIST" OR "Full Text &amp; Metadata":"SHD" OR "Full Text &amp; Metadata":"Spiking Heidelberg Digits" OR "Full Text &amp; Metadata":"CIFAR-10-DVS" OR "Full Text &amp; Metadata":"neuromorphic benchmark") AND ("Full Text &amp; Metadata":"software simulation" OR "Full Text &amp; Metadata":"neuromorphic hardware" OR "Full Text &amp; Metadata":"Loihi" OR "Full Text &amp; Metadata":"SpiNNaker" OR "Full Text &amp; Metadata":"TrueNorth" OR "Full Text &amp; Metadata":"BindsNET" OR "Full Text &amp; Metadata":"snnTorch" OR "Full Text &amp; Metadata":"neuromorphic simulator") AND ("Full Text &amp; Metadata":"Learnable encoding" OR "Full Text &amp; Metadata":"Adaptive encoding" OR "Full Text &amp; Metadata":"learnable spike encoding" OR "Full Text &amp; Metadata":"adaptive spike encoding" OR "Full Text &amp; Metadata":"trainable encoder" OR "Full Text &amp; Metadata":"differentiable encoding" OR "Full Text &amp; Metadata":"plastic encoding" OR "Full Text &amp; Metadata":"adaptive threshold encoding" OR "Full Text &amp; Metadata":"learnable threshold" OR "Full Text &amp; Metadata":"surrogate gradient")</t>
  </si>
  <si>
    <t>TITLE-ABS-KEY ( ( "Learnable encoding" OR "Adaptive encoding" OR "learnable spike encoding" OR "adaptive spike encoding" OR "trainable encoder" OR "differentiable encoding" OR "plastic encoding" OR "adaptive threshold encoding" OR "learnable threshold" OR "surrogate gradient" ) AND ( "event-based dataset*" OR "DVS Gesture" OR "N-MNIST" OR "SHD" OR "Spiking Heidelberg Digits" OR "CIFAR-10-DVS" OR "neuromorphic benchmark" ) AND ( "TTFS" OR "time-to-first-spike" OR "static" OR "hand-crafted" OR "conventional" OR "rule-based" OR "traditional encoding" OR "rate" OR "temporal encoding" OR "population encoding" OR "direct encoding" OR "latency" OR "fixed threshold" OR "non-adaptive" OR "Poisson" ) ) AND PUBYEAR &gt; 2014 AND PUBYEAR &lt; 2025 AND ( LIMIT-TO ( OA , "all" ) OR LIMIT-TO ( OA , "publisherfullgold" ) OR LIMIT-TO ( OA , "repository" ) ) AND ( LIMIT-TO ( LANGUAGE , "English" ) )</t>
  </si>
  <si>
    <t>TITLE-ABS-KEY ( ( "event-based dataset*" OR "DVS Gesture" OR "N-MNIST" OR "SHD" OR "Spiking Heidelberg Digits" OR "CIFAR-10-DVS" OR "neuromorphic benchmark" ) AND ( "software simulation" OR "neuromorphic hardware" OR "Loihi" OR "SpiNNaker" OR "TrueNorth" OR "BindsNET" OR "snnTorch" OR "neuromorphic simulator" ) AND ( "Learnable encoding" OR "Adaptive encoding" OR "learnable spike encoding" OR "adaptive spike encoding" OR "trainable encoder" OR "differentiable encoding" OR "plastic encoding" OR "adaptive threshold encoding" OR "learnable threshold" OR "surrogate gradient" ) ) AND PUBYEAR &gt; 2019 AND PUBYEAR &lt; 2026 AND ( LIMIT-TO ( LANGUAGE , "English" ) ) AND ( LIMIT-TO ( OA , "all" ) OR LIMIT-TO ( OA , "repository" ) OR LIMIT-TO ( OA , "publisherfullgold" ) )</t>
  </si>
  <si>
    <t>"Learnable encoding" OR "Adaptive encoding" OR "learnable spike encoding" OR "adaptive spike encoding" OR "trainable encoder" OR "differentiable encoding" OR "adaptive threshold encoding" OR "learnable threshold" OR "surrogate gradient"
"event-based dataset" OR "DVS Gesture" OR "N-MNIST" OR "SHD" OR "Spiking Heidelberg Digits" OR "CIFAR-10-DVS" OR "neuromorphic benchmark" OR "software simulation" OR "neuromorphic hardware"</t>
  </si>
  <si>
    <t>Q3 searched across two fields: (1) All Fields – learnable/adaptive encoding terms, and (2) Title/Abstract/Keywords – event-based dataset and neuromorphic system terms (e.g., software simulation, hardware). Filter: Open Access.</t>
  </si>
  <si>
    <t>"D:\MyMasterDegreeJourney\Second year\Semester 1\Graduation research\Research logs\Q1"</t>
  </si>
  <si>
    <t>"D:\MyMasterDegreeJourney\Second year\Semester 1\Graduation research\Research logs\Q2"</t>
  </si>
  <si>
    <t>"D:\MyMasterDegreeJourney\Second year\Semester 1\Graduation research\Research logs\Q3"</t>
  </si>
  <si>
    <t>"D:\MyMasterDegreeJourney\Second year\Semester 1\Graduation research\Research logs\Q4"</t>
  </si>
  <si>
    <t>"D:\MyMasterDegreeJourney\Second year\Semester 1\Graduation research\Research logs\Q5"</t>
  </si>
  <si>
    <t>"D:\MyMasterDegreeJourney\Second year\Semester 1\Graduation research\Research logs\Q6"</t>
  </si>
  <si>
    <t>("All Metadata":"Learnable encoding" OR "All Metadata":"Adaptive encoding" OR "All Metadata":"learnable spike encoding" OR "All Metadata":"adaptive spike encoding" OR "All Metadata":"trainable encoder" OR "All Metadata":"differentiable encoding" OR "All Metadata":"plastic encoding" OR "All Metadata":"adaptive threshold encoding" OR "All Metadata":"learnable threshold" OR "All Metadata":"surrogate gradient") AND ("All Metadata":"Spiking neural network*" OR "All Metadata":"SNN" OR "All Metadata":"neuromorphic network*" OR "All Metadata":"deep spiking network*" OR "All Metadata":"pulsed neural network*" OR "All Metadata":"event-driven neural network" OR "All Metadata":"event-based spiking network") AND ("All Metadata":"software simulation" OR "All Metadata":"neuromorphic hardware" OR "All Metadata":"Loihi" OR "All Metadata":"SpiNNaker" OR "All Metadata":"TrueNorth" OR "All Metadata":"BindsNET" OR "All Metadata":"snnTorch" OR "All Metadata":"neuromorphic simulator")</t>
  </si>
  <si>
    <t>Advanced search (ALL Metadata);  Filters Applied: Journals + open access only + Articles 01/01/2015 - 11/07/2025</t>
  </si>
  <si>
    <t>Searched for learnable/adaptive encoding terms in All Fields, combined with spiking neural network and hardware/simulation terms searched in the Abstract.
Filter: publication years 2015–2025</t>
  </si>
  <si>
    <t>Queried TITLE-ABS-KEY for three concept blocks — (learnable/adaptive encoding terms) AND (spiking/neuromorphic network terms) AND (software simulation / neuromorphic hardware &amp; tools: Loihi, SpiNNaker, TrueNorth, BindsNET, snnTorch, etc.). Years: 2020–2025 (PUBYEAR &gt; 2019 &amp; &lt; 2026). Access: Open Access only (all OA types: publisher full gold, repository/green, hybrid gold). Language: English. Document types: Article (ar), Conference Paper (cp), Review (re).</t>
  </si>
  <si>
    <t>("Learnable encoding" OR "Adaptive encoding" OR "learnable spike encoding" OR "adaptive spike encoding" OR "trainable encoder" OR "differentiable encoding" OR "adaptive threshold encoding" OR "learnable threshold" OR "surrogate gradient")
("software simulation" OR "neuromorphic hardware" OR "Loihi" OR "SpiNNaker" OR "TrueNorth" OR "BindsNET" OR "snnTorch" OR "neuromorphic simulator")
("Spiking neural network" OR "SNN" OR "neuromorphic network" OR "deep spiking network" OR "pulsed neural network" OR "event-driven neural network")</t>
  </si>
  <si>
    <t>TITLE-ABS-KEY ( ( "Learnable encoding" OR "Adaptive encoding" OR "learnable spike encoding" OR "adaptive spike encoding" OR "trainable encoder" OR "differentiable encoding" OR "plastic encoding" OR "adaptive threshold encoding" OR "learnable threshold" OR "surrogate gradient" ) AND ( "Spiking neural network*" OR "SNN" OR "neuromorphic network*" OR "deep spiking network*" OR "pulsed neural network*" OR "event-driven neural network" OR "event-based spiking network" ) AND ( "software simulation" OR "neuromorphic hardware" OR "Loihi" OR "SpiNNaker" OR "TrueNorth" OR "BindsNET" OR "snnTorch" OR "neuromorphic simulator" ) ) AND PUBYEAR &gt; 2014 AND PUBYEAR &lt; 2026 AND PUBYEAR &gt; 2019 AND PUBYEAR &lt; 2026 AND ( LIMIT-TO ( OA , "all" ) OR LIMIT-TO ( OA , "publisherfullgold" ) OR LIMIT-TO ( OA , "publisherhybridgold" ) OR LIMIT-TO ( OA , "repository" ) ) AND ( LIMIT-TO ( DOCTYPE , "ar" ) OR LIMIT-TO ( DOCTYPE , "cp" ) OR LIMIT-TO ( DOCTYPE , "re" ) ) AND ( LIMIT-TO ( LANGUAGE , "English" ) )</t>
  </si>
  <si>
    <t>Queried the Abstract field only; (2015-2025)</t>
  </si>
  <si>
    <t>Q4: Queried All Fields; Document type – Article, Research article, Review article; Publication year – 2015 to 2025; Language – English; Access type – Open Access only.</t>
  </si>
  <si>
    <t>("Full Text &amp; Metadata":("Spiking neural network*" OR "Full Text &amp; Metadata":"SNN" OR "Full Text &amp; Metadata":"neuromorphic network*" OR "Full Text &amp; Metadata":"deep spiking network*" OR "Full Text &amp; Metadata":"pulsed neural network*" OR "Full Text &amp; Metadata":"event-driven neural network" OR "Full Text &amp; Metadata":"event-based spiking network")) AND ("Full Text &amp; Metadata":("Hybrid ANN-SNN" OR "Full Text &amp; Metadata":"ANN-SNN conversion" OR "Full Text &amp; Metadata":"hybrid neural network*" OR "Full Text &amp; Metadata":"hybrid spiking network*" OR "Full Text &amp; Metadata":"artificial and spiking neural network*")) AND ("Full Text &amp; Metadata":("event-based dataset*" OR "Full Text &amp; Metadata":"DVS Gesture" OR "Full Text &amp; Metadata":"N-MNIST" OR "Full Text &amp; Metadata":"SHD" OR "Full Text &amp; Metadata":"Spiking Heidelberg Digits" OR "Full Text &amp; Metadata":"CIFAR-10-DVS" OR "Full Text &amp; Metadata":"neuromorphic benchmark")) AND ("Full Text &amp; Metadata":("TTFS" OR "Full Text &amp; Metadata":"time-to-first-spike" OR "Full Text &amp; Metadata":"static" OR "Full Text &amp; Metadata":"hand-crafted" OR "Full Text &amp; Metadata":"conventional" OR "Full Text &amp; Metadata":"rule-based" OR "Full Text &amp; Metadata":"traditional encoding" OR "Full Text &amp; Metadata":"rate" OR "Full Text &amp; Metadata":"temporal encoding" OR "Full Text &amp; Metadata":"population encoding" OR "Full Text &amp; Metadata":"direct encoding" OR "Full Text &amp; Metadata":"latency" OR "Full Text &amp; Metadata":"fixed threshold" OR "Full Text &amp; Metadata":"non-adaptive" OR "Full Text &amp; Metadata":"Poisson"))</t>
  </si>
  <si>
    <t>acm_q2.bib</t>
  </si>
  <si>
    <t>Queried the Full Text &amp; Metadata field for four concept groups: Spiking, Hybrid architectures ,Datasets , traditnal encoding
Field searched: Full Text &amp; Metadata (broad coverage including title, abstract, and indexed metadata).
Filters: none applied for year, access type, or language at query stage.</t>
  </si>
  <si>
    <t>Field searched: All Fields (includes title, abstract, and metadata).
Filters: (2015-2025)</t>
  </si>
  <si>
    <t>Field searched: All Fields (includes title, abstract, and metadata), (2015-2025), open access, english</t>
  </si>
  <si>
    <t>Spiking neural network OR "SNN" OR "neuromorphic network" OR "deep spiking network" OR "pulsed neural network" OR "event-driven neural network" OR "event-based spiking network" AND ("event-based dataset" OR "neuromorphic benchmark" )
"TTFS" OR "time-to-first-spike" OR "traditional encoding" OR "rate" OR "temporal encoding" OR "population encoding"  OR "fixed threshold" OR "non-adaptive" OR "Poisson"
("Hybrid ANN-SNN" OR "ANN-SNN conversion" OR "hybrid neural network" OR "hybrid spiking network" OR "artificial and spiking neural network")</t>
  </si>
  <si>
    <t xml:space="preserve">
Filters Applied:
Content Type: Article, Research Article, Conference Paper, Review Article 
Language: English 
Access Type: Open Access 
Publication Year Range: 2015 – 2025</t>
  </si>
  <si>
    <t>Q5: 3 PARTS =&gt;query execution across three fields:
All fields – general SNN and dataset terms.
Title/Abstract/Keywords – encoding mechanism terms.
Title only – hybrid ANN–SNN relationship terms.
Filters Applied:
Year range: 2015–2025
Language: English
Access type: Open Access</t>
  </si>
  <si>
    <t>Field searched: (title, abstract, and keywords), (2015-2025), open access, english</t>
  </si>
  <si>
    <t>Q4 searched across 3 fields: (1) All Fields – learnable/adaptive encoding term; and (2) on Title/Abstract/Keywords software simulation terms ; and (3)  searched in Title only: Spiking neural network terms,  Filter: Open Access. (2015,2025)</t>
  </si>
  <si>
    <t>Filter: Open Access. (2015,2025)</t>
  </si>
  <si>
    <t>2015- 2025</t>
  </si>
  <si>
    <t xml:space="preserve">Q5: 3 PARTS =&gt;query execution across three fields:
All fields – general SNN  terms.
Title/Abstract/Keywords – software simulation terms. 
Title only – hybrid ANN–SNN relationship terms.
Filters Applied:
Year range: 2015–2025
Language: English
Access type: Open Access
</t>
  </si>
  <si>
    <t xml:space="preserve">"Spiking neural network" OR "SNN" OR "neuromorphic network" OR "deep spiking network" OR "pulsed neural network" OR "event-driven neural network" OR "event-based spiking network"
"software simulation" OR "neuromorphic hardware" OR "Loihi" OR "SpiNNaker" OR "TrueNorth" OR "BindsNET" OR "snnTorch" OR "neuromorphic simulator"
"Hybrid ANN-SNN" OR "ANN-SNN conversion" OR "hybrid neural network" OR "hybrid spiking network" OR "artificial and spiking neural network" </t>
  </si>
  <si>
    <t>To identify studies that employ adaptive encoding methods on event-based datasets, implemented using neuromorphic hardware or simulation frameworks.</t>
  </si>
  <si>
    <t>To identify studies that investigate learnable or adaptive spike-encoding methods, evaluated on event-based or neuromorphic datasets, and compared against traditional encoding approaches.</t>
  </si>
  <si>
    <t>To identify studies on spiking or neuromorphic neural networks that employ learnable or adaptive spike-encoding techniques,  implemented using neuromorphic hardware or simulation frameworks.</t>
  </si>
  <si>
    <t>To find studies on hybrid ANN–SNN architectures evaluated using event-based or neuromorphic datasets, and compared against traditional encoding approaches.</t>
  </si>
  <si>
    <t>Q1 searched across three fields:
(1) All fields – spiking or neuromorphic neural network terms,
(2) All fields – hybrid ANN–SNN or conversion terms, and
(3) Article title, Abstract, Keywords – learnable/adaptive encoding terms.
Filter: Open Access; (2015-2025,English)</t>
  </si>
  <si>
    <r>
      <rPr>
        <b/>
        <sz val="11"/>
        <color theme="1"/>
        <rFont val="Aptos Narrow"/>
        <family val="2"/>
        <scheme val="minor"/>
      </rPr>
      <t xml:space="preserve"> Focus:</t>
    </r>
    <r>
      <rPr>
        <sz val="11"/>
        <color theme="1"/>
        <rFont val="Aptos Narrow"/>
        <family val="2"/>
        <charset val="178"/>
        <scheme val="minor"/>
      </rPr>
      <t xml:space="preserve"> Proposes, compares, or evaluates learnable/adaptive spike-encoding methods.</t>
    </r>
  </si>
  <si>
    <t>Excludes works that use fixed or rule-based encoding with no learnable or adaptive mechanism, or that focus solely on hardware or implementation aspects without addressing spike-encoding methods.</t>
  </si>
  <si>
    <t>Ensures inclusion of studies that explicitly integrate both artificial and spiking neural elements, highlighting approaches where ANN and SNN parts interact functionally (rather than being compared separately). This captures the core objective of investigating hybridized, cooperative learning frameworks.</t>
  </si>
  <si>
    <t>( "Learnable encoding" OR "Adaptive encoding" OR "learnable spike encoding" OR "adaptive spike encoding" OR "trainable encoder" OR "differentiable encoding" OR "adaptive threshold encoding" OR "learnable threshold" OR "surrogate gradient")
("Spiking neural network" OR "SNN" OR "neuromorphic network" OR "deep spiking network" OR "pulsed neural network" OR "event-driven neural network" OR "event-based spiking network")
("Hybrid ANN-SNN" OR "ANN-SNN conversion" OR "hybrid neural network" OR "hybrid spiking network" OR "artificial and spiking neural network")</t>
  </si>
  <si>
    <t>Imported References</t>
  </si>
  <si>
    <t>Focuses solely on a pure SNN or ANN without any integration, or cooperation between spiking and non-spiking components.</t>
  </si>
  <si>
    <t>18 after open access filter produce no result</t>
  </si>
  <si>
    <t>Q1 searched across three fields: (1) All fields – learnable/adaptive encoding terms, (2) Title/Abstract/Keywords – SNN-related terms, and (3) Title – hybrid ANN–SNN terms. 
Open Access filter not applide; so all 2 not open access.</t>
  </si>
  <si>
    <t>QA1. Purpose &amp; Context</t>
  </si>
  <si>
    <t>Are the study’s aim and research context (domain, data, environment) clearly described?</t>
  </si>
  <si>
    <t>QA2. Methodological Quality</t>
  </si>
  <si>
    <t>Is the study design or methodology appropriate and well explained?</t>
  </si>
  <si>
    <t>QA3. Data &amp; Tools Transparency</t>
  </si>
  <si>
    <t>QA4. Rigor &amp; Validity</t>
  </si>
  <si>
    <t>QA5. Results &amp; Interpretation</t>
  </si>
  <si>
    <t>QA6. Contribution &amp; Credibility</t>
  </si>
  <si>
    <t>Are datasets, tools, or code identified and accessible?</t>
  </si>
  <si>
    <t>Are threats to validity or methodological limitations acknowledged or mitigated?</t>
  </si>
  <si>
    <t>Are results reported clearly and interpreted in light of prior work or limitations?</t>
  </si>
  <si>
    <t>Is the contribution novel, useful, and published in a credible venue?</t>
  </si>
  <si>
    <t>0 = Unclear 
1 = Partially clear 
2 = Clearly stated &amp; contextualized</t>
  </si>
  <si>
    <t>0 = Unclear 
1 = Mentioned 
2 = Clearly described &amp; justified</t>
  </si>
  <si>
    <t>0 = None 
1 = Mentioned only 
2 = Publicly available / detailed</t>
  </si>
  <si>
    <t>0 = Absent 
1 = Briefly mentioned 
2 = Systematically addressed</t>
  </si>
  <si>
    <t>0 = Weak 
1 = Basic 
2 = Comprehensive &amp; critical</t>
  </si>
  <si>
    <t>0 = Low 
1 = Moderate 
2 = High / peer-reviewed source</t>
  </si>
  <si>
    <t>Where to Look</t>
  </si>
  <si>
    <t>Abstract, Introduction, Problem Statement</t>
  </si>
  <si>
    <t>Methods, Model Architecture, Preprocessing</t>
  </si>
  <si>
    <t>Dataset section, Implementation details, GitHub</t>
  </si>
  <si>
    <t>Discussion, Threats to Validity, Ablation</t>
  </si>
  <si>
    <t>Results, Experiments, Tables/Figures</t>
  </si>
  <si>
    <t>Introduction (Contributions), Abstract, Conclusion</t>
  </si>
  <si>
    <t>Total Possible Score: 12</t>
  </si>
  <si>
    <t>0–4 = Low quality (consider exclusion)</t>
  </si>
  <si>
    <t>5–8 = Moderate quality (include with caution)</t>
  </si>
  <si>
    <t>9–12 = High quality (strong evidence base)</t>
  </si>
  <si>
    <t>Title</t>
  </si>
  <si>
    <t>Hybrid Spiking Fully Convolutional Neural Network for Semantic Segmentation</t>
  </si>
  <si>
    <t>Hybrid photonic deep convolutional residual spiking neural networks for text classification</t>
  </si>
  <si>
    <t>Enhancing spiking neural networks with hybrid top-down attention</t>
  </si>
  <si>
    <t>Encoding Event-Based Data With a Hybrid SNN Guided Variational Auto-encoder in Neuromorphic Hardware - Proceedings of the 2022 Annual Neuro-Inspired Computational Elements Conference</t>
  </si>
  <si>
    <t>Spiking Neural Networks for Nonlinear Regression of Complex Transient Signals on Sustainable Neuromorphic Processors</t>
  </si>
  <si>
    <t>Author</t>
  </si>
  <si>
    <t>Zhang, Tao; Xiang, Shuiying; Liu, Wenzhuo; Han, Yanan; Guo, Xingxing; Hao, Yue</t>
  </si>
  <si>
    <t>Zhang, Yahui; Xiang, Shuiying; Jiang, Shuqing; Han, Yanan; Guo, Xingxing; Zheng, Ling; Shi, Yuechun; Hao, Yue</t>
  </si>
  <si>
    <t>Liu, Faqiang; Zhao, Rong</t>
  </si>
  <si>
    <t>Stewart, Kenneth; Danielescu, Andreea; Shea, Timothy; Neftci, Emre</t>
  </si>
  <si>
    <t>Stoffel, Marcus; Tandale, Saurabh Balkrishna</t>
  </si>
  <si>
    <t>As the representatives of brain-inspired models at the neuronal level, spiking neural networks (SNNs) have shown great promise in processing spatiotemporal information with intrinsic temporal dynamics. SNNs are expected to further improve their robustness and computing efficiency by introducing top-down attention at the architectural level, which is crucial for the human brain to support advanced intelligence. However, this attempt encounters difficulties in optimizing the attention in SNNs largely due to the lack of annotations. Here, we develop a hybrid network model with a top-down attention mechanism (HTDA) by incorporating an artificial neural network (ANN) to generate attention maps based on the features extracted by a feedforward SNN. The attention map is then used to modulate the encoding layer of the SNN so that it focuses on the most informative sensory input. To facilitate direct learning of attention maps and avoid labor-intensive annotations, we propose a general principle and a corresponding weakly-supervised objective, which promotes the HTDA model to utilize an integral and small subset of the input to give accurate predictions. On this basis, the ANN and the SNN can be jointly optimized by surrogate gradient descent in an end-to-end manner. We comprehensively evaluated the HTDA model on object recognition tasks, which demonstrates strong robustness to adversarial noise, high computing efficiency, and good interpretability. On the widely-adopted CIFAR-10, CIFAR-100, and MNIST benchmarks, the HTDA model reduces firing rates by up to 50% and improves adversarial robustness by up to 10% with comparable or better accuracy compared with the state-of-the-art SNNs. The HTDA model is also verified on dynamic neuromorphic datasets and achieves consistent improvements. This study provides a new way to boost the performance of SNNs by employing a hybrid top-down attention mechanism. © 2022 Elsevier B.V., All rights reserved.</t>
  </si>
  <si>
    <t>For energy-efficient computation in specialized neuromorphic hardware, we present spiking neural coding, an instantiation of a family of artificial neural models grounded in the theory of predictive coding. This model, the first of its kind, works by operating in a never-ending process of “guess-and-check”, where neurons predict the activity values of one another and then adjust their own activities to make better future predictions. The interactive, iterative nature of our system fits well into the continuous time formulation of sensory stream prediction and, as we show, the model’s structure yields a local synaptic update rule, which can be used to complement or as an alternative to online spike-timing dependent plasticity. In this article, we experiment with an instantiation of our model consisting of leaky integrate-and-fire units. However, the framework within which our system is situated can naturally incorporate more complex neurons such as the Hodgkin-Huxley model. Our experimental results in pattern recognition demonstrate the potential of the model when binary spike trains are the primary paradigm for inter-neuron communication. Notably, spiking neural coding is competitive in terms of classification performance and experiences less forgetting when learning from a task sequence, offering a more computationally economical, biologically-motivated alternative to popular artificial neural networks.</t>
  </si>
  <si>
    <t>The success of deep networks and recent industry involvement in brain-inspired computing is igniting a widespread interest in neuromorphic hardware that emulates the biological processes of the brain on an electronic substrate. This review explores interdisciplinary approaches anchored in machine learning theory that enable the applicability of neuromorphic technologies to real-world, human-centric tasks. We find that (1) recent work in binary deep networks and approximate gradient descent learning are strikingly compatible with a neuromorphic substrate; (2) where real-time adaptability and autonomy are necessary, neuromorphic technologies can achieve significant advantages over main-stream ones; and (3) challenges in memory technologies, compounded by a tradition of bottom-up approaches in the field, block the road to major breakthroughs. We suggest that a neuromorphic learning framework, tuned specifically for the spatial and temporal constraints of the neuromorphic substrate, will help guiding hardware algorithm co-design and deploying neuromorphic hardware for proactive learning of real-world data.</t>
  </si>
  <si>
    <t>Abstract             Spiking neural networks (SNNs) take inspiration from the brain to enable energy-efficient computations. Since the advent of Transformers, SNNs have struggled to compete with artificial networks on modern sequential tasks, as they inherit limitations from recurrent neural networks (RNNs), with the added challenge of training with non-differentiable binary spiking activations. However, a recent renewed interest in efficient alternatives to Transformers has given rise to state-of-the-art recurrent architectures named state space models (SSMs). This work systematically investigates, for the first time, the intersection of state-of-the-art SSMs with SNNs for long-range sequence modelling. Results suggest that SSM-based SNNs can outperform the Transformer on all tasks of a well-established long-range sequence modelling benchmark. It is also shown that SSM-based SNNs can outperform current state-of-the-art SNNs with fewer parameters on sequential image classification. Finally, a novel feature mixing layer is introduced, improving SNN accuracy while challenging assumptions about the role of binary activations in SNNs. This work paves the way for deploying powerful SSM-based architectures, such as large language models, to neuromorphic hardware for energy-efficient long-range sequence modelling.</t>
  </si>
  <si>
    <t>DOI</t>
  </si>
  <si>
    <t>10.3390/electronics12173565</t>
  </si>
  <si>
    <t>10.1364/OE.497218</t>
  </si>
  <si>
    <t>10.3389/fnins.2022.949142</t>
  </si>
  <si>
    <t>10.1145/3517343.3517372</t>
  </si>
  <si>
    <t>10.1038/s44335-024-00002-4</t>
  </si>
  <si>
    <t>Url</t>
  </si>
  <si>
    <t>https://www.scopus.com/inward/record.uri?eid=2-s2.0-85170580778&amp;doi=10.3390%2Felectronics12173565&amp;partnerID=40&amp;md5=beecd9f2e651ee9ddb9cb975c3a8d73e</t>
  </si>
  <si>
    <t>https://www.scopus.com/inward/record.uri?eid=2-s2.0-85171286173&amp;doi=10.1364%2FOE.497218&amp;partnerID=40&amp;md5=d082bfb9c3b9bf1049e1e70bccf94a14</t>
  </si>
  <si>
    <t>https://www.scopus.com/inward/record.uri?eid=2-s2.0-85137892057&amp;doi=10.3389%2Ffnins.2022.949142&amp;partnerID=40&amp;md5=1d34793667e99c14b7268a2cc2d1602d</t>
  </si>
  <si>
    <t>https://doi.org/10.1145/3517343.3517372</t>
  </si>
  <si>
    <t>RQ1a_Encoding_Type</t>
  </si>
  <si>
    <t>RQ2c_Training_Behavior</t>
  </si>
  <si>
    <t>"Adaptive encoding" AND "Spiking neural network*"</t>
  </si>
  <si>
    <t>Q7</t>
  </si>
  <si>
    <t>To find studies  using learnable or adaptive spike-encoding mechanisms.</t>
  </si>
  <si>
    <t>"D:\MyMasterDegreeJourney\Second year\Semester 1\Graduation research\Research logs\Q7"</t>
  </si>
  <si>
    <t>ieee_q7.bib</t>
  </si>
  <si>
    <t>search All ;  Filters Applied:  open access only+ Articles 01/01/2015 - 11/19/2025</t>
  </si>
  <si>
    <t>(1) All fields – spiking or neuromorphic neural network terms,
(2)  Abstract – learnable/adaptive encoding terms.
01/01/2015 - 11/19/2025</t>
  </si>
  <si>
    <t>( TITLE-ABS-KEY ( "Spiking neural network*" OR SNN OR "neuromorphic network*" OR "deep spiking network*" OR "pulsed neural network*" OR "event-driven neural network" OR "event-based spiking network" ) ) AND ( ABS ( "Learnable encoding" OR "Adaptive encoding" OR "learnable spike encoding" OR "adaptive spike encoding" OR "trainable encoder" OR "differentiable encoding" OR "plastic encoding" OR "adaptive threshold encoding" OR "learnable threshold" ) ) AND PUBYEAR &gt; 2014 AND PUBYEAR &lt; 2026 AND ( LIMIT-TO ( OA , "all" ) ) AND ( LIMIT-TO ( LANGUAGE , "English" ) )</t>
  </si>
  <si>
    <t>(1) TITLE-ABS-KEY – spiking or neuromorphic neural network terms,
(2)  Abstract – learnable/adaptive encoding terms.
2015 - 2026 , English</t>
  </si>
  <si>
    <t>("Spiking neural network*" OR "SNN" OR "neuromorphic network*" OR "deep spiking network*" OR "pulsed neural network*" OR "event-driven neural network" OR "event-based spiking network") AND ( "Learnable encoding" OR "Adaptive encoding" OR "learnable spike encoding" OR "adaptive spike encoding" OR "trainable encoder" OR "differentiable encoding" OR "plastic encoding" OR "adaptive threshold encoding" OR "learnable threshold")</t>
  </si>
  <si>
    <t>("Spiking neural network*" OR "SNN" OR "neuromorphic network*" OR "deep spiking network*" OR "pulsed neural network*" OR "event-driven neural network" OR "event-based spiking network" )
("Learnable encoding" OR "Adaptive encoding" OR "learnable spike encoding" OR "adaptive spike encoding" OR "trainable encoder" OR "differentiable encoding" OR "plastic encoding" OR "adaptive threshold encoding" OR "learnable threshold")</t>
  </si>
  <si>
    <t>(1) All fields – spiking or neuromorphic neural network terms,
(2)  Abstract and title – learnable/adaptive encoding terms.
2015 - 2025
All results not open access</t>
  </si>
  <si>
    <t>Total Duplicates: 193
Resolved: 12
Not Duplicate: 2
Deleted: 179</t>
  </si>
  <si>
    <r>
      <rPr>
        <b/>
        <sz val="11"/>
        <color theme="1"/>
        <rFont val="Aptos Narrow"/>
        <family val="2"/>
        <scheme val="minor"/>
      </rPr>
      <t xml:space="preserve">Domain: </t>
    </r>
    <r>
      <rPr>
        <sz val="11"/>
        <color theme="1"/>
        <rFont val="Aptos Narrow"/>
        <family val="2"/>
        <scheme val="minor"/>
      </rPr>
      <t>Studies on SNNs or hybrid ANN--SNN systems.</t>
    </r>
  </si>
  <si>
    <r>
      <rPr>
        <b/>
        <sz val="11"/>
        <color theme="1"/>
        <rFont val="Aptos Narrow"/>
        <family val="2"/>
        <scheme val="minor"/>
      </rPr>
      <t xml:space="preserve">Time Range: </t>
    </r>
    <r>
      <rPr>
        <sz val="11"/>
        <color theme="1"/>
        <rFont val="Aptos Narrow"/>
        <family val="2"/>
        <scheme val="minor"/>
      </rPr>
      <t>Publications prior to 2015.</t>
    </r>
  </si>
  <si>
    <r>
      <rPr>
        <b/>
        <sz val="11"/>
        <color theme="1"/>
        <rFont val="Aptos Narrow"/>
        <family val="2"/>
        <scheme val="minor"/>
      </rPr>
      <t>Focus:</t>
    </r>
    <r>
      <rPr>
        <sz val="11"/>
        <color theme="1"/>
        <rFont val="Aptos Narrow"/>
        <family val="2"/>
        <charset val="178"/>
        <scheme val="minor"/>
      </rPr>
      <t xml:space="preserve"> Studies using only fixed, rule-based encoding without learnable components, or papers focused solely on hardware implementation without discussing spike-encoding methods.</t>
    </r>
  </si>
  <si>
    <r>
      <rPr>
        <b/>
        <sz val="11"/>
        <color theme="1"/>
        <rFont val="Aptos Narrow"/>
        <family val="2"/>
        <scheme val="minor"/>
      </rPr>
      <t>Domain:</t>
    </r>
    <r>
      <rPr>
        <sz val="11"/>
        <color theme="1"/>
        <rFont val="Aptos Narrow"/>
        <family val="2"/>
        <charset val="178"/>
        <scheme val="minor"/>
      </rPr>
      <t xml:space="preserve"> Works unrelated to spiking neural networks, hybrid ANN–SNN systems, or spike-based processing.</t>
    </r>
  </si>
  <si>
    <t>Deduplicate: 254
Excluded: 210
Maybe: 0
Included: 44</t>
  </si>
  <si>
    <t>Yoo, Donghyung; Jeong, Doo Seok</t>
  </si>
  <si>
    <t>Riahi, Abir; Plourde, {\'E}ric</t>
  </si>
  <si>
    <t>Jin, Cheng; Zhu, Rui-Jie; Wu, Xiao; Deng, Liang-Jian</t>
  </si>
  <si>
    <t>Tandale, Saurabh Balkrishna; Stoffel, Marcus</t>
  </si>
  <si>
    <t>Yang, Yuchen; Liu, Jingcheng; Yu, Chengting; Yang, Chengyi; Wang, Gaoang; Wang, Aili</t>
  </si>
  <si>
    <t>Tang, Fengzhen; Zhang, Junhuai; Zhang, Chi; Liu, L.</t>
  </si>
  <si>
    <t>Sun, Antong; Chen, Xiang; Xu, Mengjuan; Zhang, Xu; Chen, Xun</t>
  </si>
  <si>
    <t>Saeedinia, Samaneh Alsadat; Jahed-Motlagh, Mohammad Reza; Tafakhori, Abbas; Kasabov, Nikola Kirilov</t>
  </si>
  <si>
    <t>Zhang, Rui; Leng, Luziwei; Che, Kaiwei; Zhang, Hu; Cheng, Jie; Guo, Qinghai; Liao, Jiangxing; Cheng, Ran</t>
  </si>
  <si>
    <t>Hens, Freek; Dehshibi, Mohammad Mahdi; Bagheriye, Leila; Shahsavari, Mahyar; Tajadura-Jiménez, Ana</t>
  </si>
  <si>
    <t>Wang, Shuai; Zhang, Dehao; Belatreche, Ammar; Xiao, Yichen; Qing, Hongyu; We, Wenjie; Zhang, Malu; Yang, Yang</t>
  </si>
  <si>
    <t>Liu, Chang; Shen, Jiangrong; Ran, Xuming; Xu, Mingkun; Xu, Qi; Xu, Yi; Pan, Gang</t>
  </si>
  <si>
    <t>Larroza, Andres; Naranjo-Alcazar, Javier; Ortiz, Vicent; Zuccarello, Pedro</t>
  </si>
  <si>
    <t>Wang, Yang; Dong, Bo; Zhang, Yuji; Zhou, Yunduo; Mei, Haiyang; Wei, Ziqi; Yang, Xin</t>
  </si>
  <si>
    <t>DTS-SNN: Spiking Neural Networks With Dynamic Time-Surfaces</t>
  </si>
  <si>
    <t>Single {{Channel Speech Enhancement Using U-Net Spiking Neural Networks}}</t>
  </si>
  <si>
    <t>Brain-Inspired Spiking Neural Networks in {{Engineering Mechanics}}: A New Physics-Based Self-Learning Framework for Sustainable {{Finite Element}} Analysis</t>
  </si>
  <si>
    <t>NeuBridge: bridging quantized activations and spiking neurons for ANN-SNN conversion</t>
  </si>
  <si>
    <t>Brain-Inspired Architecture for Spiking Neural Networks</t>
  </si>
  <si>
    <t>Feasibility study on the application of a spiking neural network in myoelectric control systems</t>
  </si>
  <si>
    <t>Diagnostic Biomarker Discovery from Brain {{EEG}} Data Using {{LSTM}}, Reservoir-{{SNN}}, and {{NeuCube}} Methods in a Pilot Study Comparing Epilepsy and Migraine</t>
  </si>
  <si>
    <t>Accurate and {Efficient} {Event}-based {Semantic} {Segmentation} {Using} {Adaptive} {Spiking} {Encoder}-{Decoder} {Network}</t>
  </si>
  <si>
    <t>Ternary {Spike}-based {Neuromorphic} {Signal} {Processing} {System}</t>
  </si>
  <si>
    <t>Efficient {ANN}-{SNN} {Conversion} with {Error} {Compensation} {Learning}</t>
  </si>
  <si>
    <t>Spike {Encoding} for {Environmental} {Sound}: {A} {Comparative} {Benchmark}</t>
  </si>
  <si>
    <t>Event-{Enhanced} {Multi}-{Modal} {Spiking} {Neural} {Network} for {Dynamic} {Obstacle} {Avoidance} - Proceedings of the 31st {ACM} {International} {Conference} on {Multimedia}</t>
  </si>
  <si>
    <t>10.1109/ACCESS.2022.3209671</t>
  </si>
  <si>
    <t>10.48550/arXiv.2307.14464</t>
  </si>
  <si>
    <t>10.48550/arXiv.2203.16117</t>
  </si>
  <si>
    <t>10.1007/s00366-024-01967-3</t>
  </si>
  <si>
    <t>10.1088/2634-4386/ade183</t>
  </si>
  <si>
    <t>10.3390/biomimetics9100646</t>
  </si>
  <si>
    <t>10.3389/fnins.2023.1174760</t>
  </si>
  <si>
    <t>10.1038/s41598-024-60996-6</t>
  </si>
  <si>
    <t>10.48550/arXiv.2304.11857</t>
  </si>
  <si>
    <t>10.48550/arXiv.2407.08362</t>
  </si>
  <si>
    <t>10.48550/arXiv.2407.05310</t>
  </si>
  <si>
    <t>10.48550/arXiv.2506.01968</t>
  </si>
  <si>
    <t>10.48550/arXiv.2503.11206</t>
  </si>
  <si>
    <t>10.1145/3581783.3612147</t>
  </si>
  <si>
    <t>https://www.scopus.com/inward/record.uri?eid=2-s2.0-105009129892&amp;doi=10.1088%2F2634-4386%2Fade183&amp;partnerID=40&amp;md5=b67fe63ab11494a23713296aaed1377a</t>
  </si>
  <si>
    <t>https://www.scopus.com/inward/record.uri?eid=2-s2.0-85207676241&amp;doi=10.3390%2Fbiomimetics9100646&amp;partnerID=40&amp;md5=95d33efc0ee7f21bb0c689694d93de73</t>
  </si>
  <si>
    <t>https://www.scopus.com/inward/record.uri?eid=2-s2.0-85163610018&amp;doi=10.3389%2Ffnins.2023.1174760&amp;partnerID=40&amp;md5=53c52d2393d8869401e9bfcc8cc1524c</t>
  </si>
  <si>
    <t>https://www.nature.com/articles/s41598-024-60996-6</t>
  </si>
  <si>
    <t>http://arxiv.org/abs/2304.11857</t>
  </si>
  <si>
    <t>http://arxiv.org/abs/2407.08362</t>
  </si>
  <si>
    <t>http://arxiv.org/abs/2407.05310</t>
  </si>
  <si>
    <t>http://arxiv.org/abs/2506.01968</t>
  </si>
  <si>
    <t>http://arxiv.org/abs/2503.11206</t>
  </si>
  <si>
    <t>http://arxiv.org/abs/2310.02361</t>
  </si>
  <si>
    <t>Convolution helps spiking neural networks (SNNs) capture the spatio-temporal structures of neuromorphic (event) data as evident in the convolution-based SNNs (C-SNNs) with the state-of-the-art classification-accuracies on various datasets. However, the efficacy aside, the efficiency of C-SNN is questionable. In this regard, we propose SNNs with novel trainable dynamic time-surfaces (DTS-SNNs) as efficient alternatives to convolution. The novel dynamic time-surface proposed in this work features its high responsiveness to moving objects given the use of the zero-sum temporal kernel that is motivated by the simple cells’ receptive fields in the early stage visual pathway. We evaluated the performance and computational complexity of our DTS-SNNs on three real-world event-based datasets (DVS128 Gesture, Spiking Heidelberg dataset, N-Cars). The results highlight high classification accuracies and significant improvements in computational efficiency, e.g., merely 1.51% behind of the state-of-the-art result on DVS128 Gesture but a  $\times 18$  improvement in efficiency. The code is available online (https://github.com/dooseokjeong/DTS-SNN).</t>
  </si>
  <si>
    <t>Despite the maturity and availability of speech recognition systems, there are few available spiking speech recognition tasks that can be implemented with current neuromorphic systems. The methods used previously to generate spiking speech data are not capable of encoding speech in real-time or encoding very large modern speech datasets efficiently for input to neuromorphic processors. The ability to efficiently encode audio data to spikes will enable a wider variety of spiking audio datasets to be available and can also enable algorithmic development of real-time neuromorphic automatic speech recognition systems. Therefore, we developed speech2spikes, a simple and efficient audio processing pipeline that encodes recorded audio into spikes and is suitable for real-time operation with low-power neuromorphic processors. To demonstrate the efficacy of our method for audio to spike encoding we show that a small feed-forward spiking neural network trained on data generated with the pipeline achieves accuracy on the Google Speech Commands recognition task, exceeding the state-of-the art set by Spiking Speech Commands, a prior spiking encoding of the Google Speech Commands dataset, by over 10\%. We also demonstrate a proof-of-concept real-time neuromorphic automatic speech recognition system using audio encoded with speech2spikes streamed to an Intel Loihi neuromorphic research processor.</t>
  </si>
  <si>
    <t>Spiking neural networks inherently rely on the precise timing of discrete spike events for information processing. Incorporating additional bio-inspired degrees of freedom, such as trainable synaptic transmission delays and adaptive firing thresholds, is essential for fully leveraging the temporal dynamics of SNNs. Although recent methods have demonstrated the benefits of training synaptic weights and delays, both in terms of accuracy and temporal representation, these techniques typically rely on discrete-time simulations, surrogate gradient approximations, or full access to internal state variables such as membrane potentials. Such requirements limit training precision and efficiency and pose challenges for neuromorphic hardware implementation due to increased memory and I/O bandwidth demands. To overcome these challenges, we propose an analytical event-driven learning framework that computes exact loss gradients not only with respect to synaptic weights and transmission delays but also to adaptive neuronal firing thresholds. Experiments on multiple benchmarks demonstrate significant gains in accuracy (up to 7\%), timing precision, and robustness compared to existing methods.</t>
  </si>
  <si>
    <t>Abstract             Human visual neurons rely on event-driven, energy-efficient spikes for communication, while silicon image sensors do not. The energy-budget mismatch between biological systems and machine vision technology has inspired the development of artificial visual neurons for use in spiking neural network (SNN). However, the lack of multiplexed data coding schemes reduces the ability of artificial visual neurons in SNN to emulate the visual perception ability of biological systems. Here, we present an artificial visual spiking neuron that enables rate and temporal fusion (RTF) coding of external visual information. The artificial neuron can code visual information at different spiking frequencies (rate coding) and enables precise and energy-efficient time-to-first-spike (TTFS) coding. This multiplexed sensory coding scheme could improve the computing capability and efficacy of artificial visual neurons. A hardware-based SNN with the RTF coding scheme exhibits good consistency with real-world ground truth data and achieves highly accurate steering and speed predictions for self-driving vehicles in complex conditions. The multiplexed RTF coding scheme demonstrates the feasibility of developing highly efficient spike-based neuromorphic hardware.</t>
  </si>
  <si>
    <t>Abstract             Communication by rare, binary spikes is a key factor for the energy efficiency of biological brains. However, it is harder to train biologically-inspired spiking neural networks than artificial neural networks. This is puzzling given that theoretical results provide exact mapping algorithms from artificial to spiking neural networks with time-to-first-spike coding. In this paper we analyze in theory and simulation the learning dynamics of time-to-first-spike-networks and identify a specific instance of the vanishing-or-exploding gradient problem. While two choices of spiking neural network mappings solve this problem at initialization, only the one with a constant slope of the neuron membrane potential at threshold guarantees the equivalence of the training trajectory between spiking and artificial neural networks with rectified linear units. For specific image classification architectures comprising feed-forward dense or convolutional layers, we demonstrate that deep spiking neural network models can be effectively trained from scratch on MNIST and Fashion-MNIST datasets, or fine-tuned on large-scale datasets, such as CIFAR10,~CIFAR100 and PLACES365, to achieve the exact same performance as that of artificial neural networks, surpassing previous spiking neural networks. Our approach accomplishes high-performance classification with less than 0.3 spikes per neuron, lending itself for an energy-efficient implementation. We also show that fine-tuning spiking neural networks with our robust gradient descent algorithm enables their optimization for hardware implementations with low latency and resilience to noise and quantization.</t>
  </si>
  <si>
    <t>Abstract             By mimicking the neurons and synapses of the human brain and employing spiking neural networks on neuromorphic chips, neuromorphic computing offers a promising energy-efficient machine intelligence. How to borrow high-level brain dynamic mechanisms to help neuromorphic computing achieve energy advantages is a fundamental issue. This work presents an application-oriented algorithm-software-hardware co-designed neuromorphic system for this issue. First, we design and fabricate an asynchronous chip called ``Speck'', a sensing-computing neuromorphic system on chip. With the low processor resting power of 0.42mW, Speck can satisfy the hardware requirements of dynamic computing: no-input consumes no energy. Second, we uncover the ``dynamic imbalance'' in spiking neural networks and develop an attention-based framework for achieving the algorithmic requirements of dynamic computing: varied inputs consume energy with large variance. Together, we demonstrate a neuromorphic system with real-time power as low as 0.70mW. This work exhibits the promising potentials of neuromorphic computing with its asynchronous event-driven, sparse, and dynamic nature.</t>
  </si>
  <si>
    <t>Spiking neural networks (SNNs) underlie low-power, fault-tolerant information processing in the brain and could constitute a power-efficient alternative to conventional deep neural networks when implemented on suitable neuromorphic hardware accelerators. However, instantiating SNNs that solve complex computational tasks in-silico remains a significant challenge. Surrogate gradient (SG) techniques have emerged as a standard solution for training SNNs end-to-end. Still, their success depends on synaptic weight initialization, similar to conventional artificial neural networks (ANNs). Yet, unlike in the case of ANNs, it remains elusive what constitutes a good initial state for an SNN. Here, we develop a general initialization strategy for SNNs inspired by the fluctuation-driven regime commonly observed in the brain. Specifically, we derive practical solutions for data-dependent weight initialization that ensure fluctuation-driven firing in the widely used leaky integrate-and-fire neurons. We empirically show that SNNs initialized following our strategy exhibit superior learning performance when trained with SGs. These findings generalize across several datasets and SNN architectures, including fully connected, deep convolutional, recurrent, and more biologically plausible SNNs obeying Dale’s law. Thus fluctuation-driven initialization provides a practical, versatile, and easy-to-implement strategy for improving SNN training performance on diverse tasks in neuromorphic engineering and computational neuroscience. © 2025 Elsevier B.V., All rights reserved.</t>
  </si>
  <si>
    <t>Spiking Neural Networks (SNNs) have piqued researchers' interest because of their capacity to process temporal information and low power consumption. However, current state-of-the-art methods limited their biological plausibility and performance because their neurons are generally built on the simple Leaky-Integrate-and-Fire (LIF) model. Due to the high level of dynamic complexity, modern neuron models have seldom been implemented in SNN practice. In this study, we adopt the Phase Plane Analysis (PPA) technique, a technique often utilized in neurodynamics field, to integrate a recent neuron model, namely, the Izhikevich neuron. Based on the findings in the advancement of neuroscience, the Izhikevich neuron model can be biologically plausible while maintaining comparable computational cost with LIF neurons. By utilizing the adopted PPA, we have accomplished putting neurons built with the modified Izhikevich model into SNN practice, dubbed as the Standardized Izhikevich Tonic (SIT) neuron. For performance, we evaluate the suggested technique for image classification tasks in self-built LIF-and-SIT-consisted SNNs, named Hybrid Neural Network (HNN) on static MNIST, Fashion-MNIST, CIFAR-10 datasets and neuromorphic N-MNIST, CIFAR10-DVS, and DVS128 Gesture datasets. The experimental results indicate that the suggested method achieves comparable accuracy while exhibiting more biologically realistic behaviors on nearly all test datasets, demonstrating the efficiency of this novel strategy in bridging the gap between neurodynamics and SNN practice.</t>
  </si>
  <si>
    <t>Abstract             The present study aims to develop a sustainable framework employing brain-inspired neural networks for solving boundary value problems in Engineering Mechanics. Spiking neural networks, known as the third generation of artificial neural networks, are proposed for physics-based artificial intelligence. Accompanied by a new pseudo-explicit integration scheme based on spiking recurrent neural networks leading to a spike-based pseudo explicit integration scheme, the underlying differential equations are solved with a physics-informed strategy. We propose additionally a third-generation spike-based Legendre Memory Unit that handles large sequences. These third-generation networks can be implemented on the coming-of-age neuromorphic hardware resulting in less energy and memory consumption. The proposed framework, although implicit, is viewed as a pseudo-explicit scheme since it requires almost no or fewer online training steps to achieve a converged solution even for unseen loading sequences. The proposed framework is deployed in a Finite Element solver for plate structures undergoing cyclic loading and a Xylo-Av2 SynSense neuromorphic chip is used to assess its energy performance. An acceleration of more than 40\% when compared to classical Finite Element Method simulations and the capability of online training is observed. We also see a reduction in energy consumption down to the thousandth order.</t>
  </si>
  <si>
    <t>Spiking neural networks (SNNs) offer a promising avenue for energy-efficient computations on neuromorphic hardware, leveraging the unique advantages of spike-based signaling. Despite their potential, SNNs often lag behind artificial neural networks (ANNs) in performance, mainly due to the complexity of effectively translating ANN activation values into the time domain spikes. This challenge arises due to the quantization and unevenness errors that occur when mapping continuous activations to discrete spikes and irregular spike timing. This paper introduces NeuBridge, an innovative ANN-SNN conversion method that utilize adaptive temporal coding to significantly reduce the number of required time steps without compromising accuracy. NeuBridge addresses the errors by employing a decode-encode neuron and adaptive temporal coding, effectively bridging the performance gap between ANNs and SNNs. By establishing an equivalence between quantized ANNs and SNNs and optimizing the temporal coding process, we improve SNN performance with as few as 2 time steps. Empirical evaluations on CIFAR-10 and ImageNet datasets demonstrate that NeuBridge consistently performs better than existing conversion methods in both accuracy and efficiency, achieving high performance within just 3 time steps. NeuBridge code is available at: https://github.com/Intelli-Chip-Lab/NeuBridge. © 2025 Elsevier B.V., All rights reserved.</t>
  </si>
  <si>
    <t>The brain-inspired Spiking neural networks (SNN) claim to present advantages for visual classification tasks in terms of energy efficiency and inherent robustness. In this work, we explore the impact on network inter-layer sparsity through neural coding schemes and the intrinsic structural parameters of Leaky Integrate-and-Fire (LIF) neurons, which can be a candidate metric for performance evaluation. Towards this, we perform a comparative study of four critical neural coding schemes: rate coding (poisson coding), latency coding, phase coding, and direct coding, as well as 6 LIF neuron intrinsic parameter options for a total of 24 combined parameter schemes. Specifically, the models were trained using a supervised training algorithm with a surrogate gradient, and two adversarial attacks, Fast Gradient Sign Method (FGSM) and Projected Gradient Descent (PGD) were applied on a CIFAR10 dataset. We identified the sources of interlayer sparsity in SNN, and quantitatively analyzed the differences in sparsity caused by coding schemes, neuron leakage factors and thresholds. Various aspects of network performance were thoroughly considered in this paper, including inference accuracy, adversarial robustness, and energy efficiency. Our results show that latency coding is the optimum choice in achieving the highest adversarial robustness and energy efficient against low intensity attacks, while rate coding offers the best adversarial robustness against medium and high intensity attacks. The maximum deviations of robustness and efficiency between different coding schemes are 9.35% in VGG5 and 13.59% in VGG9. Increasing the sparsity of spike activity by improving the threshold can bring a short-lived adversarial robustness sweet spot, while excessive sparsity due to changes in threshold and leakage can instead reduce the adversarial robustness. The study reveals the advantages and disadvantages, and design space of SNN in various dimensions, allowing researchers to frame their neuromorphic systems in terms of the coding methods, neuron inherent structure, and model learning capabilities.</t>
  </si>
  <si>
    <t>Artificial neural networks (ANNs) have demonstrated outstanding performance in numerous tasks, but deployment in resource-constrained environments remains a challenge due to their high computational and memory requirements. Spiking neural networks (SNNs) operate through discrete spike events and offer superior energy efficiency, providing a bio-inspired alternative. However, current ANN-to-SNN conversion often results in significant accuracy loss and increased inference time due to conversion errors such as clipping, quantization, and uneven activation. This paper proposes a novel ANN-to-SNN conversion framework based on error compensation learning. We introduce a learnable threshold clipping function, dual-threshold neurons, and an optimized membrane potential initialization strategy to mitigate the conversion error. Together, these techniques address the clipping error through adaptive thresholds, dynamically reduce the quantization error through dual-threshold neurons, and minimize the non-uniformity error by effectively managing the membrane potential. Experimental results on CIFAR-10, CIFAR-100, ImageNet datasets show that our method achieves high-precision and ultra-low latency among existing conversion methods. Using only two time steps, our method significantly reduces the inference time while maintains competitive accuracy of 94.75\% on CIFAR-10 dataset under ResNet-18 structure. This research promotes the practical application of SNNs on low-power hardware, making efficient real-time processing possible.</t>
  </si>
  <si>
    <t>Autonomous obstacle avoidance is of vital importance for an intelligent agent such as a mobile robot to navigate in its environment. Existing state-of-the-art methods train a spiking neural network (SNN) with deep reinforcement learning (DRL) to achieve energy-efficient and fast inference speed in complex/unknown scenes. These methods typically assume that the environment is static while the obstacles in real-world scenes are often dynamic. The movement of obstacles increases the complexity of the environment and poses a great challenge to the existing methods. In this work, we approach robust dynamic obstacle avoidance twofold. First, we introduce the neuromorphic vision sensor (i.e., event camera) to provide motion cues complementary to the traditional Laser depth data for handling dynamic obstacles. Second, we develop an DRL-based event-enhanced multimodal spiking actor network (EEM-SAN) that extracts information from motion events data via unsupervised representation learning and fuses Laser and event camera data with learnable thresholding. Experiments demonstrate that our EEM-SAN outperforms state-of-the-art obstacle avoidance methods by a significant margin, especially for dynamic obstacle avoidance.</t>
  </si>
  <si>
    <t>RQ1c_Training_mechanism</t>
  </si>
  <si>
    <t>RQ2a_spike_wise_efficiency</t>
  </si>
  <si>
    <t>RQ4a_Limitation_Category</t>
  </si>
  <si>
    <t>RQ4b_Reported_Limitations</t>
  </si>
  <si>
    <t>paper_type</t>
  </si>
  <si>
    <t>Architecture_Type</t>
  </si>
  <si>
    <t>code_availability</t>
  </si>
  <si>
    <t>training_config_short</t>
  </si>
  <si>
    <t xml:space="preserve">Abstract </t>
  </si>
  <si>
    <t>STAL: Spike Threshold} {Adaptive} {Learning} {Encoder} for {Classification} of {Pain}-{Related} {Biosignal} {Data}</t>
  </si>
  <si>
    <t>SIT: {{A Bionic}} and {{Non-Linear Neuron}} for {{Spiking Neural Network}}</t>
  </si>
  <si>
    <r>
      <rPr>
        <b/>
        <sz val="11"/>
        <color theme="1"/>
        <rFont val="Aptos Narrow"/>
        <family val="2"/>
        <scheme val="minor"/>
      </rPr>
      <t>Publication Type:</t>
    </r>
    <r>
      <rPr>
        <sz val="11"/>
        <color theme="1"/>
        <rFont val="Aptos Narrow"/>
        <family val="2"/>
        <charset val="178"/>
        <scheme val="minor"/>
      </rPr>
      <t xml:space="preserve"> Peer-reviewed journal/conference papers; arXiv preprintst.</t>
    </r>
  </si>
  <si>
    <t>hardware_or_simulator</t>
  </si>
  <si>
    <t>Publication Title</t>
  </si>
  <si>
    <t>Optics Express</t>
  </si>
  <si>
    <t>Frontiers in Neuroscience</t>
  </si>
  <si>
    <t>IEEE Access</t>
  </si>
  <si>
    <t>Neurocomputing</t>
  </si>
  <si>
    <t>Nature Communications</t>
  </si>
  <si>
    <t>npj Unconventional Computing</t>
  </si>
  <si>
    <t>Neuromorphic Computing and Engineering</t>
  </si>
  <si>
    <t>Complexity</t>
  </si>
  <si>
    <t>Biomimetics</t>
  </si>
  <si>
    <t>Synaptic weights</t>
  </si>
  <si>
    <t>Promised.</t>
  </si>
  <si>
    <t>Surrogate gradient</t>
  </si>
  <si>
    <t xml:space="preserve">DDD17
DSEC-Semantic
</t>
  </si>
  <si>
    <t>Suboptimal Sparsity/Architecture
Lacks Deep Theoretical Justification
Theoretical Energy Estimates Only
No Neuromorphic Hardware Deployment
No Real-World/Practical Deployment
Early-Stage Architecture Search Sensitivity</t>
  </si>
  <si>
    <t>Neuromorphic Hardware Deployment
Real-World Application
AiLIF Theoretical Justification
SNN Sparsity Optimization</t>
  </si>
  <si>
    <t>Novel Algorithmic Framework</t>
  </si>
  <si>
    <t>RQ3a_Dataset_modality</t>
  </si>
  <si>
    <t>Vision</t>
  </si>
  <si>
    <t>Event streams
Grayscale images
RGB images</t>
  </si>
  <si>
    <t>MNIST
Fashion-MNIST
CIFAR-10</t>
  </si>
  <si>
    <t>Available</t>
  </si>
  <si>
    <t>Architecture proposal</t>
  </si>
  <si>
    <t>Small and imbalanced dataset
Overfitting with large reservoirs
Lack of large-scale validation
No neuromorphic hardware deployment</t>
  </si>
  <si>
    <t>DVS128 Gesture
Spiking Heidelberg Dataset (SHD)
N-Cars</t>
  </si>
  <si>
    <t>Grayscale images
RGB images</t>
  </si>
  <si>
    <t>Event streams</t>
  </si>
  <si>
    <t>DTS-SNN (Dynamic Time-Surfaces Spiking Neural Network)</t>
  </si>
  <si>
    <t>Introduction or application of learnable and/or adaptive spike-encoding mechanisms (e.g., gradient-trained or plasticity-based) for temporal and/or spatial information conversion.</t>
  </si>
  <si>
    <t>learnable encoding</t>
  </si>
  <si>
    <t>Grayscale images
RGB images
Event streams</t>
  </si>
  <si>
    <t>CIFAR-10
CIFAR-100
MNIST
N-MNIST</t>
  </si>
  <si>
    <t>learnable and adaptive encoding</t>
  </si>
  <si>
    <t>Hybrid ANN–SNN architecture</t>
  </si>
  <si>
    <t>Lack of real-world neuromorphic deployment
No UAV or subterranean robot validation
Absence of energy benchmarks on hardware</t>
  </si>
  <si>
    <t>Spiking Actor–Critic Architecture</t>
  </si>
  <si>
    <t xml:space="preserve">Not Available </t>
  </si>
  <si>
    <t>RQ2b_Resource_efficiency</t>
  </si>
  <si>
    <t>Classification task</t>
  </si>
  <si>
    <t>Exploration of alternative encoding schemes
Evaluation on public datasets
Inclusion of transition-phase EMG
Integration of advanced training strategies
On-chip neuromorphic deployment</t>
  </si>
  <si>
    <t>SNN</t>
  </si>
  <si>
    <t>ANN-to-SNN conversion</t>
  </si>
  <si>
    <t>CIFAR-10
ImageNet</t>
  </si>
  <si>
    <t>Lack of real neuromorphic hardware validation
No evaluation on non-vision modalities
Absence of on-chip learning</t>
  </si>
  <si>
    <t>Converted spiking neural network (LIF-based)</t>
  </si>
  <si>
    <t>Audio</t>
  </si>
  <si>
    <t>Time-frequency representation</t>
  </si>
  <si>
    <t>Voice Bank Corpus (VCTK) + DEMAND noise dataset</t>
  </si>
  <si>
    <t>U-Net-based Spiking Neural Network</t>
  </si>
  <si>
    <t>Regression task</t>
  </si>
  <si>
    <t xml:space="preserve">Stable
</t>
  </si>
  <si>
    <t>Multimodal</t>
  </si>
  <si>
    <t>EmoPain dataset</t>
  </si>
  <si>
    <t>Small dataset size and class imbalance
Higher spike density for best-performing STAL–Stacked variant
No deployment on neuromorphic hardware
Performance lower than deep learning models in AUC</t>
  </si>
  <si>
    <t>Neuromorphic hardware implementation and benchmarking
Extension to multi-level pain intensity and behavior classification
Broader biosignal domains
Real-world wearable deployment</t>
  </si>
  <si>
    <t xml:space="preserve">Available
</t>
  </si>
  <si>
    <t>Biosignals
Audio</t>
  </si>
  <si>
    <t>Quantized Ternary Spiking Neural Network (QT-SNN)</t>
  </si>
  <si>
    <t xml:space="preserve">Available </t>
  </si>
  <si>
    <t>Kernel time constants selected manually
Evaluation limited to simple FC SNN
No systematic study of kernel behavior across tasks
No deployment on real neuromorphic hardware
Slight accuracy drop compared to top convolution-based SNNs despite major efficiency gains.</t>
  </si>
  <si>
    <t>RQ1b_Learnable_encoding_parameters</t>
  </si>
  <si>
    <t>Accuracy
# Params
# Ops
# Timesteps</t>
  </si>
  <si>
    <t>Accuracy
# Timesteps</t>
  </si>
  <si>
    <t>GPU \CPU</t>
  </si>
  <si>
    <t>GPU \CPU
Loihi</t>
  </si>
  <si>
    <t>MATLAB simulation
GPU \CPU</t>
  </si>
  <si>
    <t>Loihi
GPU \CPU</t>
  </si>
  <si>
    <t>Classification task
Speech recognition</t>
  </si>
  <si>
    <t>Custom</t>
  </si>
  <si>
    <t>Reduced computational operations 
Multiplication-free inference (MFI)
Energy efficiency computation
Memory-efficient</t>
  </si>
  <si>
    <t>Energy efficiency computation
Memory-efficient
Faster infrence</t>
  </si>
  <si>
    <t xml:space="preserve">GPU \CPU
CMOS energy model </t>
  </si>
  <si>
    <t>Extension to more biologically realistic learning rules
Inclusion of lateral/recurrent connections
Application to speech and time-series tasks</t>
  </si>
  <si>
    <t>Reduced computational operations
Energy efficiency computation
Memory-efficient</t>
  </si>
  <si>
    <t>Convolutional Spiking Neural Network (Conv-SNN)</t>
  </si>
  <si>
    <t>Convergence</t>
  </si>
  <si>
    <t xml:space="preserve">Synaptic weights
 </t>
  </si>
  <si>
    <t>Semantic Segmentation task</t>
  </si>
  <si>
    <t>NMNIST
IBM DVSGesture
Custom</t>
  </si>
  <si>
    <t>Real Numbers</t>
  </si>
  <si>
    <t>No on-chip training for Xylo-Av2
Energy estimates from KerasSpiking are conjectural and based on simplifying assumptions
Low number of online training steps can  introduce errors
Model evaluated on specific material models</t>
  </si>
  <si>
    <t>Recurrent Spiking Neural Network (RSNN)</t>
  </si>
  <si>
    <t>Local learning rule</t>
  </si>
  <si>
    <t>Pure SNN architecture</t>
  </si>
  <si>
    <t>Spiking Encoder-Decoder Network</t>
  </si>
  <si>
    <t>Hybrid Recurrent Spiking Neural Network (SNN)</t>
  </si>
  <si>
    <t>Reservoir-based SNN</t>
  </si>
  <si>
    <t>Accuracy
Neuron firing patterns
Execution time</t>
  </si>
  <si>
    <t>Classification task
Biomarker discovery</t>
  </si>
  <si>
    <t>Reduced computational operations
Energy efficiency computation
Memory-efficient
Faster infrence</t>
  </si>
  <si>
    <t>Architecture proposal
Novel Encoding Mechanism</t>
  </si>
  <si>
    <t>Validation on larger
Multi-center datasets
Early prediction of disease onset;
Deployment on neuromorphic hardware
Longitudinal EEG analysis</t>
  </si>
  <si>
    <t>Neuron: IF, LIF 
Random weight initialization
Dropout = 40% in fully connected layers
Batch normalization (BN)
Loss: Loss function = L2 norm (MSE)
Method: Surrogate gradient comparison
Optimizer: Adam (sigmoid vs arctan)
Recommended α = 4.0
30 epochs
MNIST: LR = 0.0002, Batch size = 128, Epochs = 60, Surrogate gradient = Atan
Fashion-MNIST: LR = 0.0005, Batch size = 128, Epochs = 120, Surrogate gradient = Atan
CIFAR10: LR = 0.0001, Batch size = 32, Epochs = 140, Surrogate gradient = Sigmoid</t>
  </si>
  <si>
    <r>
      <t>Neuron: LIF 
Optimizer: Adam
Batch Size: 32
Initial Learning Rate: 1e-4
Maximum Learning Rate: 1e-3
Epochs (Pre-training): &lt;=4000
Learning Rate Schedule: Cyclical, Triangular Mode
Activation Function (Output Layer): Soft Plus
Pre-training Phase: Combination of data-driven L</t>
    </r>
    <r>
      <rPr>
        <vertAlign val="subscript"/>
        <sz val="11"/>
        <color theme="1"/>
        <rFont val="Aptos Narrow"/>
        <family val="2"/>
        <scheme val="minor"/>
      </rPr>
      <t>d</t>
    </r>
    <r>
      <rPr>
        <sz val="11"/>
        <color theme="1"/>
        <rFont val="Aptos Narrow"/>
        <family val="2"/>
        <scheme val="minor"/>
      </rPr>
      <t xml:space="preserve"> and physics-based L</t>
    </r>
    <r>
      <rPr>
        <vertAlign val="subscript"/>
        <sz val="11"/>
        <color theme="1"/>
        <rFont val="Aptos Narrow"/>
        <family val="2"/>
        <scheme val="minor"/>
      </rPr>
      <t>p</t>
    </r>
    <r>
      <rPr>
        <sz val="11"/>
        <color theme="1"/>
        <rFont val="Aptos Narrow"/>
        <family val="2"/>
        <scheme val="minor"/>
      </rPr>
      <t xml:space="preserve"> loss functions.
Online Training: Physics-based L</t>
    </r>
    <r>
      <rPr>
        <vertAlign val="subscript"/>
        <sz val="11"/>
        <color theme="1"/>
        <rFont val="Aptos Narrow"/>
        <family val="2"/>
        <scheme val="minor"/>
      </rPr>
      <t>p</t>
    </r>
    <r>
      <rPr>
        <sz val="11"/>
        <color theme="1"/>
        <rFont val="Aptos Narrow"/>
        <family val="2"/>
        <scheme val="minor"/>
      </rPr>
      <t xml:space="preserve"> only</t>
    </r>
  </si>
  <si>
    <r>
      <t>Trainable DTS aggregation weights a</t>
    </r>
    <r>
      <rPr>
        <vertAlign val="subscript"/>
        <sz val="11"/>
        <color theme="1"/>
        <rFont val="Aptos Narrow"/>
        <family val="2"/>
        <scheme val="minor"/>
      </rPr>
      <t>i</t>
    </r>
  </si>
  <si>
    <t>Novel Encoding Mechanism</t>
  </si>
  <si>
    <t>Fixed (non-learnable) temporal kernels, motivating learnable or adaptive kernel designs.
Extension to deeper SNN architectures and neuromorphic tasks beyond classification.
Lack of hardware-level neuromorphic validation.</t>
  </si>
  <si>
    <t>Accuracy
Qualitative latent-space evaluation (T-SNE)</t>
  </si>
  <si>
    <t>Hybrid Guided Variational Autoencoder with SNN encoder</t>
  </si>
  <si>
    <t>Evaluation on higher-precision neuromorphic hardware
Extension to more complex tasks and larger class counts
Missing adaptive-encoding comparisons
Limited scalability analysis
No quantitative energy benchmarks 
Improved on-chip learning algorithms</t>
  </si>
  <si>
    <t>Hardware performance degradation
Precision-sensitive latent disentanglement
Partial hardware deployment
Class confusion</t>
  </si>
  <si>
    <t>Convergence
Higher simulation speed
Smoothness</t>
  </si>
  <si>
    <t xml:space="preserve">Robustness
Generalization
Performance </t>
  </si>
  <si>
    <t xml:space="preserve">Robustness
Performance </t>
  </si>
  <si>
    <t>Performance 
Robustness</t>
  </si>
  <si>
    <t>Stable
Efficiency</t>
  </si>
  <si>
    <t>Accuracy
Adversarial robustness (PGD under L∞ constraint)
Firing rate 
# MAC
# Params
# Timesteps</t>
  </si>
  <si>
    <t>Hybrid ANN–SNN (Convolutional SNN with ANN-based top-down attention)</t>
  </si>
  <si>
    <t xml:space="preserve">Additional ANN introduces extra parameters and computation
Attention applied mainly to encoder layer (limited exploration of deeper feedback)
No direct deployment or benchmarking on neuromorphic hardware
</t>
  </si>
  <si>
    <t xml:space="preserve">End-to-end deployment on neuromorphic chips 
Extension to non-vision modalities 
More complex or multi-level attention mechanisms
</t>
  </si>
  <si>
    <t xml:space="preserve"># Timesteps
# Params
MIoU
# Add
# Mult
Energy
</t>
  </si>
  <si>
    <t>Biosignals</t>
  </si>
  <si>
    <t>Synaptic weights
Latent parameters</t>
  </si>
  <si>
    <t>Synaptic weights
Latent parameters
Membrane thresholds</t>
  </si>
  <si>
    <t>Reinforcement learning task</t>
  </si>
  <si>
    <t>Performance 
Robustness
Inference
Generalization</t>
  </si>
  <si>
    <t>Gazebo simulator+AA19
GPU \CPU</t>
  </si>
  <si>
    <t>Evaluated only in simulation
No real-robot deployment
Need more real challenging scenes</t>
  </si>
  <si>
    <t>Event streams
Laser scans</t>
  </si>
  <si>
    <t>Success rate
# Add
# Mult</t>
  </si>
  <si>
    <t>Learnable clipping threshold
Dual-threshold neuron parameters
Membrane potential initialization value</t>
  </si>
  <si>
    <t>CIFAR-10
CIFAR-100
ImageNet</t>
  </si>
  <si>
    <t>Accuracy
# Timesteps
Energy</t>
  </si>
  <si>
    <t>Classification task
Action/Gesture Recognition</t>
  </si>
  <si>
    <t>Conversion framework</t>
  </si>
  <si>
    <t>Extension to non-vision modalities
On-chip neuromorphic validation
Exploration beyond rate-based conversion</t>
  </si>
  <si>
    <t>Performance 
Inference
Robustness</t>
  </si>
  <si>
    <t>Converted deep CNN-based SNN</t>
  </si>
  <si>
    <t>No real neuromorphic hardware deployment (simulation-based)
Energy evaluated via analytical SOP/FLOP estimates
Method validated only on image classification</t>
  </si>
  <si>
    <t>Neuron: IF
ANN trained with quantized clip-floor-shift activation (learnable λ, L=4–8 recommended)
Inference at T = 2–16 time steps</t>
  </si>
  <si>
    <t>Inference
Robustness</t>
  </si>
  <si>
    <t>Stable</t>
  </si>
  <si>
    <t xml:space="preserve">Stable  </t>
  </si>
  <si>
    <t>Accuracy
Energy
# Add
# Mult
Inference latency
Spike release rate (SRR)
Statistical significance (ANOVA)</t>
  </si>
  <si>
    <t>Single encoding method and neuron model
Only steady-state EMG used
Evaluated on limited datasets
Lower accuracy than some advanced DNN approaches
ower/latency are algorithmic estimates only
No real neuromorphic hardware deployment</t>
  </si>
  <si>
    <t>Feasibility study</t>
  </si>
  <si>
    <t>Hybrid ANN–SNN architecture
ANN-to-SNN conversion</t>
  </si>
  <si>
    <t>rayyan-388589274</t>
  </si>
  <si>
    <t>rayyan-388589102</t>
  </si>
  <si>
    <t>rayyan-378478369</t>
  </si>
  <si>
    <t>rayyan-388589111</t>
  </si>
  <si>
    <t>rayyan-378477363</t>
  </si>
  <si>
    <t>rayyan-388589278</t>
  </si>
  <si>
    <t>rayyan-378478131</t>
  </si>
  <si>
    <t>rayyan-378476879</t>
  </si>
  <si>
    <t>rayyan-388589281</t>
  </si>
  <si>
    <t>rayyan-388589103</t>
  </si>
  <si>
    <t>rayyan-378476870</t>
  </si>
  <si>
    <t>rayyan-378476869</t>
  </si>
  <si>
    <t>rayyan-378478374</t>
  </si>
  <si>
    <t>rayyan-378478161</t>
  </si>
  <si>
    <t>rayyan-378478320</t>
  </si>
  <si>
    <t>rayyan-388589280</t>
  </si>
  <si>
    <t>rayyan-378478367</t>
  </si>
  <si>
    <t>rayyan-388589275</t>
  </si>
  <si>
    <t>rayyan-388589277</t>
  </si>
  <si>
    <t>Rayyan_key</t>
  </si>
  <si>
    <t>Texts</t>
  </si>
  <si>
    <t>MR
AG News
IMDB
Yelp review polarity</t>
  </si>
  <si>
    <t>Word embeddings</t>
  </si>
  <si>
    <t>Deep convolutional residual spiking neural network (DCRSNN)</t>
  </si>
  <si>
    <t>My_Key</t>
  </si>
  <si>
    <t>P01</t>
  </si>
  <si>
    <t>P02</t>
  </si>
  <si>
    <t>P03</t>
  </si>
  <si>
    <t>P04</t>
  </si>
  <si>
    <t>P05</t>
  </si>
  <si>
    <t>P06</t>
  </si>
  <si>
    <t>P07</t>
  </si>
  <si>
    <t>P08</t>
  </si>
  <si>
    <t>P09</t>
  </si>
  <si>
    <t>P10</t>
  </si>
  <si>
    <t>P11</t>
  </si>
  <si>
    <t>P12</t>
  </si>
  <si>
    <t>P13</t>
  </si>
  <si>
    <t>P14</t>
  </si>
  <si>
    <t>P15</t>
  </si>
  <si>
    <t>P16</t>
  </si>
  <si>
    <t>P17</t>
  </si>
  <si>
    <t>P18</t>
  </si>
  <si>
    <t>P19</t>
  </si>
  <si>
    <t>Not Available</t>
  </si>
  <si>
    <t>Inference</t>
  </si>
  <si>
    <t>End-to-end photonic SNN training
Deeper photonic integration beyond classifier
Broader NLP tasks and multilingual datasets</t>
  </si>
  <si>
    <t>Stable
Convergence
Faster training</t>
  </si>
  <si>
    <t>Stable
Faster training</t>
  </si>
  <si>
    <t xml:space="preserve">Accuracy
# Timesteps
</t>
  </si>
  <si>
    <t>VOC2012
COCO2017
DRIVE
Cityscapes</t>
  </si>
  <si>
    <t>MIoU
Pixel Acc
# Params
Precision
Recall
F1
Energy</t>
  </si>
  <si>
    <t>Hybrid spiking fully convolutional neural network (SFCNN)</t>
  </si>
  <si>
    <t>Convergence
Performance sensitive to time-step</t>
  </si>
  <si>
    <t>Performance</t>
  </si>
  <si>
    <t>Lack of pretrained SNN backbones
Limited exploration of deeper adaptive encoding
No real neuromorphic hardware deployment</t>
  </si>
  <si>
    <t>RGB images</t>
  </si>
  <si>
    <t>Stable
Performance sensitive to time-step</t>
  </si>
  <si>
    <t>Inference
Performance</t>
  </si>
  <si>
    <t>Accuracy
# Add
# Mult
# Timesteps
Energy</t>
  </si>
  <si>
    <t>No physical neuromorphic chip deployment
Energy estimated analytically
Evaluation limited to vision benchmarks
Comparison with adaptive-at-runtime encoding mechanisms2</t>
  </si>
  <si>
    <t xml:space="preserve"> Architectural Limitations
Theoretical Limitations
Hardware Limitations
Energy Estimation Limitations
Optimization Limitations</t>
  </si>
  <si>
    <t>Biological Limitations
Generalizability Limitations
Hardware Limitations</t>
  </si>
  <si>
    <t>Limited exploitation of biological mechanisms
Absence of lateral interactions and recurrent connectivity
Evaluated only on image classification tasks
No Neuromorphic Hardware Deployment</t>
  </si>
  <si>
    <t>Accuracy Limitations
Computational Constraints
Generalizability Limitations
Hardware Limitations</t>
  </si>
  <si>
    <t>Generalizability Limitations
Hardware Limitations
Accuracy Limitations</t>
  </si>
  <si>
    <t>Energy Estimation Limitations
Generalizability Limitations</t>
  </si>
  <si>
    <t>Hardware Limitations
Accuracy Limitations
Generalizability Limitations</t>
  </si>
  <si>
    <t>Extension to broader material laws
Large-scale 3D problems
Full neuromorphic FEM solvers
Real experimental validation.
Brain-inspired neural network-enhanced FEM for mechanical BVPs was previously unavailable in literature
Limited application of SNNs in FEM solvers</t>
  </si>
  <si>
    <t>Inference
Performance
Robustness</t>
  </si>
  <si>
    <t>Energy efficiency discussed conceptually without measured neuromorphic power metrics
Photonic SNN limited to classifier stage
Evaluation limited to text classification benchmarks
No direct deployment or benchmarking on neuromorphic hardware</t>
  </si>
  <si>
    <t>Performance inferior to CNNs
Sensitive to time-step selection
Long training time
Lack of pretrained SNN models
Energy based on theoretical estimation
No direct deployment or benchmarking on neuromorphic hardware</t>
  </si>
  <si>
    <t>No physical neuromorphic chip deployment
Performance is evaluated using a fixed encoding strategy (direct input encoding).
Only a single neuron model (LIF) is considered.
A single loss function (log-spectral distance, LSD) is used.
The approach relies exclusively on a direct-mapping strategy (no masking-based formulation).
No masking-based SNN variant is explored or compared.
No neuron model diversity (e.g., IF, adaptive LIF, SRM) is investigated.</t>
  </si>
  <si>
    <t>Extension to alternative encoding strategies (e.g., masking, adaptive encoders)
Other neuron models
Different loss functions
Broader speech enhancement scenarios.</t>
  </si>
  <si>
    <t>Perceptual Evaluation of Speech Quality (PESQ)
Short-Time Objective Intelligibility (STOI)
Deep Noise Suppression Mean Opinion Score (DNSMOS: SIG, BAK, OVRL)</t>
  </si>
  <si>
    <t>TA Screening</t>
  </si>
  <si>
    <t>Full text Screening</t>
  </si>
  <si>
    <t>Included: 19</t>
  </si>
  <si>
    <t>So 19 papers got to Data Extraction and quality Assessment stage</t>
  </si>
  <si>
    <t>Faster training</t>
  </si>
  <si>
    <t>MNIST
Fashion-MNIST
CIFAR-10
N-MNIS
 CIFAR10-DVS
DVS128 Gesture</t>
  </si>
  <si>
    <t>Accuracy</t>
  </si>
  <si>
    <t>Fully learnable or adaptive neuron parameterization beyond b
Hardware-level neuromorphic validation (e.g., Loihi)
Explicit energy/spike-efficiency benchmarking
Extension beyond vision-classification tasks</t>
  </si>
  <si>
    <t>PPA-based standardization quantitatively resolves only parameter b
Other Izhikevich parameters rely on empirical or neuroscience heuristics
No neuromorphic hardware deployment or energy evaluation.</t>
  </si>
  <si>
    <t>Hybrid CNN-SNN</t>
  </si>
  <si>
    <t>Comparative Benchmark Study</t>
  </si>
  <si>
    <t>Pure SNN classifier with external spike encoder</t>
  </si>
  <si>
    <t>Lack of learnable or gradient-trained spike encoders for environmental audio
Need for encoder–architecture co-design
Evaluation on neuromorphic hardware
Exploration of attention-based SNNs paired with efficient encoders</t>
  </si>
  <si>
    <t>All SNN results remain below ANN baselines
No encoder–architecture co-design
Fixed SNN architecture not optimized for audio 
No neuromorphic hardware deployment</t>
  </si>
  <si>
    <t>ESC-10
UrbanSound8K
TAU Urban Acoustic Scenes (TAU-3Class)</t>
  </si>
  <si>
    <t>Error in decibels (ERRdB)
Signal-to-noise ratio (SNR)
Accuracy
Firing rate 
Encoding time
Memory usage</t>
  </si>
  <si>
    <t>Root Mean Squared Error (RMSE)
Energy</t>
  </si>
  <si>
    <t>Energy values are estimated using KerasSpiking (not direct hardware measurements)
Training time of SNNs is longer than ANN counterparts
Full deployment on neuromorphic hardware is constrained by dense layers</t>
  </si>
  <si>
    <t>Limited prior work on nonlinear regression with SNNs
Need for broader application domains and deeper fully spiking architectures
Further validation on real neuromorphic hardware beyond partial deployment</t>
  </si>
  <si>
    <t>Slower
Stable</t>
  </si>
  <si>
    <t>Robustness</t>
  </si>
  <si>
    <t>Ensemble of Spiking Recurrent Neural Network (SRNN)</t>
  </si>
  <si>
    <t>Accuracy
F1
AUC
Matthews Correlation Coefficient (MCC)
Spike density</t>
  </si>
  <si>
    <t>Robustness
Performance</t>
  </si>
  <si>
    <t>Electromyography (EMG)
Inertial measurement unit (IMU)</t>
  </si>
  <si>
    <t>Electroencephalogram (EEG)</t>
  </si>
  <si>
    <t>Electroencephalogram (EEG)
Raw audio waveform (time-domain signal)</t>
  </si>
  <si>
    <t>Google Speech Commands(GSC)
KUL EEG dataset
DTU EEG dataset</t>
  </si>
  <si>
    <t>Accuracy
Memory usage
Precision(weights / membrane potentials)
# Timesteps
# Add
# Mult
Energy</t>
  </si>
  <si>
    <t>Energy evaluation based on theoretical analysis only
No real neuromorphic hardware deployment
Evaluation limited to speech and EEG tasks</t>
  </si>
  <si>
    <t>Deployment on real neuromorphic chips
Extension to additional signal modalities
On-chip learning validation</t>
  </si>
  <si>
    <t>Synaptic weights
Temporal decay parameters</t>
  </si>
  <si>
    <t>Synaptic weights
Temporal decay parameters
Membrane thresholds</t>
  </si>
  <si>
    <t>Synaptic weights
Membrane thresholds
Temporal decay parameters</t>
  </si>
  <si>
    <t>ANN-to-SNN Conversion Method</t>
  </si>
  <si>
    <t>Year</t>
  </si>
  <si>
    <t>Hardware Limitations
Generalizability Limitations</t>
  </si>
  <si>
    <t>Generalizability Limitations
Hardware Limitations
Energy Estimation Limitations</t>
  </si>
  <si>
    <t>Hardware Limitations
Energy Estimation Limitations
Generalizability Limitations</t>
  </si>
  <si>
    <t>Accuracy Limitations
Energy Estimation Limitations
Generalizability Limitations
Hardware Limitations
Methodological Limitations</t>
  </si>
  <si>
    <t>Hardware Limitations
Architectural Limitations
Methodological Limitations</t>
  </si>
  <si>
    <t>Methodological Limitations
Generalizability Limitations
Hardware Limitations
Architectural Limitations
Accuracy Limitations</t>
  </si>
  <si>
    <t>Hardware Limitations
Energy Estimation Limitations
Generalizability Limitations
Methodological Limitations</t>
  </si>
  <si>
    <t>Generalizability Limitations
Hardware Limitations
Architectural Limitations
Methodological Limitations</t>
  </si>
  <si>
    <t>Methodological Limitations
Architectural Limitations
Accuracy Limitations
Hardware Limitations</t>
  </si>
  <si>
    <t>Neuron: Izhikevich
spiking neurons (70% excitatory / 30% inhibitory)
Pipeline: raw EEG → adaptive Online Spike Encoding → partially observed reservoir SNN → firing-rate classifier
Learning: hybrid local learning (supervised ReSuMe for observed neurons + unsupervised STDP for hidden neurons)
Classifier calibration: firing-rate threshold trained on 70% of data
Evaluation: leave-one-out cross-validation</t>
  </si>
  <si>
    <t>Neuron: LIF
SGD with momentum 0.9
Batch size 200
Initial LR 0.1 with warm-up
Time step Td = 1 ms
K = 6 (static) / 10 (neuromorphic)
Attention period Tf = 2Td
Temperature-scheduled sigmoid (max Te = 6)
Loss weight α ∈ {0.01, 0.1}
Sparsity coefficients β = 0.40, γ = 0.51.</t>
  </si>
  <si>
    <t>Neuron: LIF
DDPG (Deep Deterministic Policy Gradient (DDPG))
Batch size 256
Learning rate 1e-4
MFDM-LT timestep = 5
Laser 20 Hz, DVS 100 Hz
Current decay 0.5, voltage decay 0.75
Population size = 10</t>
  </si>
  <si>
    <t>Neuron: LIF
Optimizer: Adam
Learning rate: 0.1, 0.01
Batch size: 1/8 of training set
Loss: cross-entropy
Integration window: T=100
θ=0.6
Vthr2=10.</t>
  </si>
  <si>
    <t>Neuron: LIF
surrogate gradient (arctan/softsign/sigmoid)
Adam optimizer (lr = 0.001)
Batch size 256
Time window T = 1–16 ms
50 epochs</t>
  </si>
  <si>
    <t>Neuron: IF
Time window=6
Simulation time step=1 ms
Adam optimizer
LR=0.0005
Batch size=8
Cosine LR scheduler
Softsign surrogate
Cross-entropy loss</t>
  </si>
  <si>
    <t>Neuron: LIF
Quantization-aware ANN training
SGD (momentum 0.9)
Cross-entropy loss
Quantization-aware training
Trainable τ ∈ [1, 4]
ANN trained first
SNN obtained via direct conversion</t>
  </si>
  <si>
    <t>Neuron: LIF
Adam (lr=0.002, β1=0.5, β2=0.9)
Batch size 32
60 epochs
Surrogate gradient (ArcTan)
Convolution weights ~𝒩(0,0.2)
Decay strengths &amp; thresholds initialized from normal distributions.</t>
  </si>
  <si>
    <t>Neuron: Izhikevich
Surrogate-gradient training
Adam (lr = 0.01) with cosine annealing
Batch = 16
τ = 2
simulation steps T = 8–20 depending on dataset
SIT neurons inserted into selected convolutional layers.</t>
  </si>
  <si>
    <t>Neuron: LIF
Mel-spectrogram =&gt; spike encoding (MW / SF / TAE) =&gt; FC-SNN (LIF)
Batch = 32
Lr = 0.01, 100 epochs
Macro-accuracy evaluation</t>
  </si>
  <si>
    <t>Neuron: LIF
Adam optimizer (lr = 0.001, β₁ = 0.9, β₂ = 0.999)
Surrogate-gradient learning
Hyperband architecture search
RMSE loss</t>
  </si>
  <si>
    <t>Neuron: LIF
AdamW optimizer
LR = 5e-3 (encoder), 7.5e-4 (SRNN)
batch sizes {sEMG:32, Energy:8, Angle:16}
ψ = 5 spikes/step
dropout = 0.5
30 encoder epochs
25 SRNN epochs
early stopping
LOSO (Leave-One-Subject-Out) cross-validation</t>
  </si>
  <si>
    <r>
      <t>Neuron: LIF
STBP; τ = 0.5
Learnable V</t>
    </r>
    <r>
      <rPr>
        <vertAlign val="subscript"/>
        <sz val="11"/>
        <color theme="1"/>
        <rFont val="Aptos Narrow"/>
        <family val="2"/>
        <scheme val="minor"/>
      </rPr>
      <t>th</t>
    </r>
    <r>
      <rPr>
        <sz val="11"/>
        <color theme="1"/>
        <rFont val="Aptos Narrow"/>
        <family val="2"/>
        <charset val="178"/>
        <scheme val="minor"/>
      </rPr>
      <t>/α₁ =&gt; inside the QT-SNN neuron model (not in the encoding stage)
α₃/α₁ constrained to powers of two
4 inference timesteps
Raw signal → TAE → ternary spikes → QT-SNN; STBP training; learnable threshold scaling &amp; spike amplitude; quantized inference with bit-shift operations</t>
    </r>
  </si>
  <si>
    <r>
      <t>Neuron: LIF 
Method: Direct SNN Training (Spatio-Temporal BP + Dspike)
Optimizer: Adam (Poly LR Decay)
Loss: Per-pixel Cross-Entropy
Epochs: Search: 20, Retraining: 50–100
Inference: Single Time-Step
Input: SBT (</t>
    </r>
    <r>
      <rPr>
        <sz val="11"/>
        <color theme="1"/>
        <rFont val="DengXian"/>
        <charset val="134"/>
      </rPr>
      <t>Δ</t>
    </r>
    <r>
      <rPr>
        <sz val="11"/>
        <color theme="1"/>
        <rFont val="Aptos Narrow"/>
        <family val="2"/>
        <scheme val="minor"/>
      </rPr>
      <t>t = 50ms, n = 5)</t>
    </r>
  </si>
  <si>
    <t>Xylo-Av2
KerasSpiking
GPU \CPU</t>
  </si>
  <si>
    <t>Neuron: LIF
Optimizer: Adam (no weight decay or LR scheduling)
Timesteps: 300 (Gesture), 500 (SHD), 100 (N-Cars) 
Batch sizes: 16, 64, or 256 depending on dataset</t>
  </si>
  <si>
    <t>Neuron: LIF
(∆t = 1 ms)
Surrogate gradients (fast sigmoid)
Truncated BPTT (100 ms)
VAE loss + excitation/inhibition losses
GPU training with PyTorch
Loihi deployment using SLAYER with quantized spiking μ, Σ</t>
  </si>
  <si>
    <t>Root Mean Squared Error (RMSE)
Energy
Simulation speed</t>
  </si>
  <si>
    <t>This ensures scientific rigor by including only peer-reviewed publications, as well as arXiv preprints that are subjected to manual quality assessment during the review process.</t>
  </si>
  <si>
    <t>RQ1d_Hybrid_Integration_Type</t>
  </si>
  <si>
    <t>RQ2d_Model_Behavior</t>
  </si>
  <si>
    <t>RQ3b_Input_Representation</t>
  </si>
  <si>
    <t>RQ3c_Datasets_Used</t>
  </si>
  <si>
    <t>RQ3d_Task_or_Domain</t>
  </si>
  <si>
    <t>RQ3e_Evaluation_Metrics</t>
  </si>
  <si>
    <t>RQ4c_Research_Gaps</t>
  </si>
  <si>
    <t xml:space="preserve">
Sparse spike activity</t>
  </si>
  <si>
    <t>Efficient Timesteps
Reduced firing rate</t>
  </si>
  <si>
    <t>Sparse spike activity
Reduced firing rate
Stable spike behavior
Efficient Timesteps</t>
  </si>
  <si>
    <t>Sparse spike activity
Reduced firing rate</t>
  </si>
  <si>
    <t>Sparse spike activity
Efficient Timesteps</t>
  </si>
  <si>
    <t>Activity-driven suppression
Activity-driven responsiveness
Efficient Timesteps</t>
  </si>
  <si>
    <t>Reduced firing rate
Efficient Timesteps</t>
  </si>
  <si>
    <t>Activity-driven suppression
Reduced firing rate
Sparse spike activity</t>
  </si>
  <si>
    <t>Sparse spike activity</t>
  </si>
  <si>
    <t>Sparse spike activity
Activity-driven suppression</t>
  </si>
  <si>
    <t>Efficient Timesteps</t>
  </si>
  <si>
    <t>Reduced spike count</t>
  </si>
  <si>
    <t>Reduced firing rate
Reduced spike count</t>
  </si>
  <si>
    <t>Energy efficiency computation
Memory-efficient
Multiplication-free inference (MFI)</t>
  </si>
  <si>
    <t>Energy efficiency computation</t>
  </si>
  <si>
    <t>Energy efficiency computation
MAC operations reduction</t>
  </si>
  <si>
    <t>Low latency
AC-dominant computation
Energy efficiency computation</t>
  </si>
  <si>
    <t>AC-dominant computation
Energy efficiency computation</t>
  </si>
  <si>
    <t>Reduced computational operations
Low latency
AC-dominant computation
Energy efficiency computation</t>
  </si>
  <si>
    <t xml:space="preserve">Reduced computational operations
Energy efficiency computation
Memory-efficient
</t>
  </si>
  <si>
    <t>Reduced computational operations
Energy efficiency computation
MAC operations reduction</t>
  </si>
  <si>
    <t>Energy efficiency computation
Reduced computational operations</t>
  </si>
  <si>
    <t>Total</t>
  </si>
  <si>
    <t>Number of papers from each database</t>
  </si>
  <si>
    <t>Hardware-induced performance degradation</t>
  </si>
  <si>
    <t>Stable
Convergence
Randomness reduced</t>
  </si>
  <si>
    <t xml:space="preserve">Stable
Smoothness 
</t>
  </si>
  <si>
    <t>Training scalability Limitations
Accuracy Limitations
Hardware Limitations
Energy Estimation Limitations</t>
  </si>
  <si>
    <t>Methodological Limitations
Interpretability Limitations
Energy Estimation Limitations
Hardware Limitations</t>
  </si>
  <si>
    <t>Training scalability Limitations
Hardware Limitations
Energy Estimation Limitations</t>
  </si>
  <si>
    <t>Vision
Audio</t>
  </si>
  <si>
    <t>128-band Mel-spectrograms (20–20 kHz)</t>
  </si>
  <si>
    <t>Adaptive (data-driven) parameters</t>
  </si>
  <si>
    <t>Synaptic weights
Membrane thresholds</t>
  </si>
  <si>
    <t>Classification task
Regression task
Signal reconstruction</t>
  </si>
  <si>
    <t>Regression task
Speech enhancement</t>
  </si>
  <si>
    <t xml:space="preserve">RQ1. Findings for RQ1: What learnable or adaptive spike-encoding mechanisms have been proposed in pure SNN or hybrid ANN--SNN architectures?
</t>
  </si>
  <si>
    <t>Studies proposing or evaluating hybrid ANN–SNN or pure SNN architectures for neuromorphic or event-driven learning tasks, where spike encoding plays a functional role in the learning pipeline.</t>
  </si>
  <si>
    <t>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</si>
</sst>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7" x14ac:knownFonts="1">
    <font>
      <sz val="11"/>
      <color theme="1"/>
      <name val="Aptos Narrow"/>
      <family val="2"/>
      <charset val="178"/>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b/>
      <sz val="11"/>
      <color theme="1"/>
      <name val="Aptos Narrow"/>
      <family val="2"/>
      <scheme val="minor"/>
    </font>
    <font>
      <b/>
      <sz val="11"/>
      <color theme="1"/>
      <name val="Aptos Narrow"/>
      <family val="2"/>
      <charset val="178"/>
      <scheme val="minor"/>
    </font>
    <font>
      <b/>
      <sz val="11"/>
      <color theme="1"/>
      <name val="Arial"/>
    </font>
    <font>
      <sz val="11"/>
      <color theme="1"/>
      <name val="Arial"/>
    </font>
    <font>
      <b/>
      <sz val="11"/>
      <color rgb="FF000000"/>
      <name val="Aptos Narrow"/>
      <scheme val="minor"/>
    </font>
    <font>
      <u/>
      <sz val="11"/>
      <color theme="10"/>
      <name val="Aptos Narrow"/>
      <family val="2"/>
      <charset val="178"/>
      <scheme val="minor"/>
    </font>
    <font>
      <b/>
      <sz val="11"/>
      <color rgb="FF000000"/>
      <name val="Aptos Narrow"/>
    </font>
    <font>
      <sz val="11"/>
      <color rgb="FF000000"/>
      <name val="Arial"/>
      <charset val="1"/>
    </font>
    <font>
      <b/>
      <sz val="14"/>
      <color rgb="FF000000"/>
      <name val="Aptos Narrow"/>
      <charset val="1"/>
    </font>
    <font>
      <sz val="11"/>
      <color rgb="FF000000"/>
      <name val="Arial"/>
    </font>
    <font>
      <sz val="11"/>
      <color theme="1"/>
      <name val="Aptos Narrow"/>
      <scheme val="minor"/>
    </font>
    <font>
      <sz val="11"/>
      <color theme="1"/>
      <name val="Aptos Narrow"/>
      <family val="2"/>
      <scheme val="minor"/>
    </font>
    <font>
      <sz val="11"/>
      <color theme="1"/>
      <name val="Arial"/>
      <family val="2"/>
    </font>
    <font>
      <b/>
      <sz val="11"/>
      <color theme="1"/>
      <name val="Arial"/>
      <family val="2"/>
    </font>
    <font>
      <sz val="8"/>
      <name val="Aptos Narrow"/>
      <family val="2"/>
      <charset val="178"/>
      <scheme val="minor"/>
    </font>
    <font>
      <sz val="11"/>
      <color rgb="FF333333"/>
      <name val="Aptos Narrow"/>
      <family val="2"/>
    </font>
    <font>
      <sz val="11"/>
      <color rgb="FF000000"/>
      <name val="Arial"/>
      <family val="2"/>
      <charset val="178"/>
    </font>
    <font>
      <b/>
      <sz val="11"/>
      <color rgb="FFFF0000"/>
      <name val="Arial"/>
      <family val="2"/>
    </font>
    <font>
      <b/>
      <sz val="14"/>
      <color theme="1"/>
      <name val="Aptos Narrow"/>
      <family val="2"/>
      <scheme val="minor"/>
    </font>
    <font>
      <sz val="12"/>
      <color theme="1"/>
      <name val="Aptos Narrow"/>
      <family val="2"/>
      <scheme val="minor"/>
    </font>
    <font>
      <sz val="11"/>
      <color theme="1"/>
      <name val="DengXian"/>
      <charset val="134"/>
    </font>
    <font>
      <vertAlign val="subscript"/>
      <sz val="11"/>
      <color theme="1"/>
      <name val="Aptos Narrow"/>
      <family val="2"/>
      <scheme val="minor"/>
    </font>
  </fonts>
  <fills count="5">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6" tint="0.79998168889431442"/>
        <bgColor indexed="64"/>
      </patternFill>
    </fill>
  </fills>
  <borders count="3">
    <border>
      <left/>
      <right/>
      <top/>
      <bottom/>
      <diagonal/>
    </border>
    <border>
      <left/>
      <right/>
      <top/>
      <bottom style="thin">
        <color indexed="64"/>
      </bottom>
      <diagonal/>
    </border>
    <border>
      <left/>
      <right/>
      <top style="thin">
        <color indexed="64"/>
      </top>
      <bottom style="thin">
        <color indexed="64"/>
      </bottom>
      <diagonal/>
    </border>
  </borders>
  <cellStyleXfs count="2">
    <xf numFmtId="0" fontId="0" fillId="0" borderId="0"/>
    <xf numFmtId="0" fontId="20" fillId="0" borderId="0" applyNumberFormat="0" applyFill="0" applyBorder="0" applyAlignment="0" applyProtection="0"/>
  </cellStyleXfs>
  <cellXfs count="81">
    <xf numFmtId="0" fontId="0" fillId="0" borderId="0" xfId="0"/>
    <xf numFmtId="0" fontId="0" fillId="0" borderId="0" xfId="0" applyAlignment="1">
      <alignment vertical="top" wrapText="1"/>
    </xf>
    <xf numFmtId="0" fontId="18" fillId="0" borderId="0" xfId="0" applyFont="1"/>
    <xf numFmtId="0" fontId="15" fillId="0" borderId="0" xfId="0" applyFont="1"/>
    <xf numFmtId="0" fontId="0" fillId="0" borderId="0" xfId="0" applyAlignment="1">
      <alignment horizontal="left" vertical="center" wrapText="1"/>
    </xf>
    <xf numFmtId="0" fontId="0" fillId="0" borderId="0" xfId="0" applyAlignment="1">
      <alignment vertical="center" wrapText="1"/>
    </xf>
    <xf numFmtId="0" fontId="0" fillId="0" borderId="0" xfId="0" applyAlignment="1">
      <alignment wrapText="1"/>
    </xf>
    <xf numFmtId="0" fontId="26" fillId="0" borderId="0" xfId="0" applyFont="1" applyAlignment="1">
      <alignment vertical="top" wrapText="1"/>
    </xf>
    <xf numFmtId="0" fontId="15" fillId="0" borderId="0" xfId="0" applyFont="1" applyAlignment="1">
      <alignment horizontal="center" vertical="top" wrapText="1"/>
    </xf>
    <xf numFmtId="0" fontId="24" fillId="0" borderId="0" xfId="0" applyFont="1" applyAlignment="1">
      <alignment vertical="center" wrapText="1"/>
    </xf>
    <xf numFmtId="0" fontId="19" fillId="0" borderId="0" xfId="0" applyFont="1" applyAlignment="1">
      <alignment horizontal="left" wrapText="1"/>
    </xf>
    <xf numFmtId="0" fontId="19" fillId="0" borderId="0" xfId="0" applyFont="1" applyAlignment="1">
      <alignment wrapText="1"/>
    </xf>
    <xf numFmtId="0" fontId="21" fillId="0" borderId="0" xfId="0" applyFont="1" applyAlignment="1">
      <alignment wrapText="1"/>
    </xf>
    <xf numFmtId="0" fontId="23" fillId="0" borderId="0" xfId="0" applyFont="1" applyAlignment="1">
      <alignment wrapText="1"/>
    </xf>
    <xf numFmtId="0" fontId="0" fillId="0" borderId="0" xfId="0" applyAlignment="1">
      <alignment horizontal="center" vertical="center" wrapText="1"/>
    </xf>
    <xf numFmtId="0" fontId="17" fillId="0" borderId="0" xfId="0" applyFont="1" applyAlignment="1">
      <alignment vertical="center"/>
    </xf>
    <xf numFmtId="0" fontId="27" fillId="0" borderId="0" xfId="0" applyFont="1" applyAlignment="1">
      <alignment vertical="center"/>
    </xf>
    <xf numFmtId="0" fontId="27" fillId="0" borderId="0" xfId="0" applyFont="1" applyAlignment="1">
      <alignment vertical="center" wrapText="1"/>
    </xf>
    <xf numFmtId="0" fontId="28" fillId="0" borderId="0" xfId="0" applyFont="1" applyAlignment="1">
      <alignment vertical="center"/>
    </xf>
    <xf numFmtId="0" fontId="18" fillId="0" borderId="0" xfId="0" applyFont="1" applyAlignment="1">
      <alignment vertical="center"/>
    </xf>
    <xf numFmtId="0" fontId="17" fillId="0" borderId="0" xfId="0" applyFont="1" applyAlignment="1">
      <alignment vertical="center" wrapText="1"/>
    </xf>
    <xf numFmtId="0" fontId="18" fillId="0" borderId="0" xfId="0" applyFont="1" applyAlignment="1">
      <alignment vertical="center" wrapText="1"/>
    </xf>
    <xf numFmtId="0" fontId="27" fillId="0" borderId="0" xfId="0" applyFont="1" applyAlignment="1">
      <alignment horizontal="left" vertical="top" wrapText="1"/>
    </xf>
    <xf numFmtId="0" fontId="16" fillId="0" borderId="0" xfId="0" applyFont="1" applyAlignment="1">
      <alignment vertical="center" wrapText="1"/>
    </xf>
    <xf numFmtId="0" fontId="14" fillId="0" borderId="0" xfId="0" applyFont="1" applyAlignment="1">
      <alignment vertical="center" wrapText="1"/>
    </xf>
    <xf numFmtId="0" fontId="15" fillId="0" borderId="0" xfId="0" applyFont="1" applyAlignment="1">
      <alignment vertical="center" wrapText="1"/>
    </xf>
    <xf numFmtId="0" fontId="22" fillId="0" borderId="0" xfId="0" applyFont="1" applyAlignment="1">
      <alignment vertical="center" wrapText="1"/>
    </xf>
    <xf numFmtId="17" fontId="0" fillId="0" borderId="0" xfId="0" applyNumberFormat="1" applyAlignment="1">
      <alignment horizontal="center" vertical="center" wrapText="1"/>
    </xf>
    <xf numFmtId="0" fontId="25" fillId="0" borderId="0" xfId="0" applyFont="1" applyAlignment="1">
      <alignment horizontal="center" vertical="center" wrapText="1"/>
    </xf>
    <xf numFmtId="0" fontId="20" fillId="0" borderId="0" xfId="1" applyAlignment="1">
      <alignment vertical="center" wrapText="1"/>
    </xf>
    <xf numFmtId="0" fontId="17" fillId="0" borderId="0" xfId="0" applyFont="1" applyAlignment="1">
      <alignment horizontal="center" vertical="center"/>
    </xf>
    <xf numFmtId="0" fontId="18" fillId="0" borderId="0" xfId="0" applyFont="1" applyAlignment="1">
      <alignment horizontal="center" vertical="center"/>
    </xf>
    <xf numFmtId="0" fontId="27" fillId="0" borderId="0" xfId="0" applyFont="1" applyAlignment="1">
      <alignment horizontal="center" vertical="center"/>
    </xf>
    <xf numFmtId="0" fontId="28" fillId="0" borderId="0" xfId="0" applyFont="1" applyAlignment="1">
      <alignment horizontal="center" vertical="center"/>
    </xf>
    <xf numFmtId="0" fontId="27" fillId="0" borderId="0" xfId="0" applyFont="1" applyAlignment="1">
      <alignment horizontal="center" vertical="center" wrapText="1"/>
    </xf>
    <xf numFmtId="0" fontId="22" fillId="2" borderId="0" xfId="0" applyFont="1" applyFill="1" applyAlignment="1">
      <alignment vertical="center" wrapText="1"/>
    </xf>
    <xf numFmtId="0" fontId="16" fillId="0" borderId="0" xfId="0" applyFont="1" applyAlignment="1">
      <alignment horizontal="center" vertical="center" wrapText="1"/>
    </xf>
    <xf numFmtId="0" fontId="22" fillId="0" borderId="0" xfId="0" applyFont="1" applyAlignment="1">
      <alignment horizontal="center" vertical="center" wrapText="1"/>
    </xf>
    <xf numFmtId="0" fontId="30" fillId="0" borderId="0" xfId="0" applyFont="1" applyAlignment="1">
      <alignment horizontal="center" vertical="center" wrapText="1"/>
    </xf>
    <xf numFmtId="3" fontId="0" fillId="0" borderId="0" xfId="0" applyNumberFormat="1" applyAlignment="1">
      <alignment vertical="center" wrapText="1"/>
    </xf>
    <xf numFmtId="0" fontId="13" fillId="0" borderId="0" xfId="0" applyFont="1" applyAlignment="1">
      <alignment vertical="center" wrapText="1"/>
    </xf>
    <xf numFmtId="0" fontId="0" fillId="0" borderId="0" xfId="0" applyAlignment="1">
      <alignment horizontal="center" wrapText="1"/>
    </xf>
    <xf numFmtId="0" fontId="12" fillId="0" borderId="0" xfId="0" applyFont="1" applyAlignment="1">
      <alignment vertical="top" wrapText="1"/>
    </xf>
    <xf numFmtId="0" fontId="26" fillId="0" borderId="0" xfId="0" applyFont="1" applyAlignment="1">
      <alignment horizontal="center" vertical="top" wrapText="1"/>
    </xf>
    <xf numFmtId="0" fontId="15" fillId="0" borderId="0" xfId="0" applyFont="1" applyAlignment="1">
      <alignment wrapText="1"/>
    </xf>
    <xf numFmtId="0" fontId="12" fillId="0" borderId="0" xfId="0" applyFont="1" applyAlignment="1">
      <alignment horizontal="left" vertical="center" wrapText="1"/>
    </xf>
    <xf numFmtId="0" fontId="12" fillId="0" borderId="0" xfId="0" applyFont="1" applyAlignment="1">
      <alignment vertical="center" wrapText="1"/>
    </xf>
    <xf numFmtId="0" fontId="11" fillId="0" borderId="0" xfId="0" applyFont="1" applyAlignment="1">
      <alignment vertical="center" wrapText="1"/>
    </xf>
    <xf numFmtId="0" fontId="33" fillId="0" borderId="1" xfId="0" applyFont="1" applyBorder="1" applyAlignment="1">
      <alignment vertical="top"/>
    </xf>
    <xf numFmtId="0" fontId="0" fillId="4" borderId="0" xfId="0" applyFill="1" applyAlignment="1">
      <alignment vertical="top" wrapText="1"/>
    </xf>
    <xf numFmtId="0" fontId="0" fillId="4" borderId="1" xfId="0" applyFill="1" applyBorder="1" applyAlignment="1">
      <alignment vertical="top"/>
    </xf>
    <xf numFmtId="0" fontId="0" fillId="4" borderId="1" xfId="0" applyFill="1" applyBorder="1" applyAlignment="1">
      <alignment vertical="top" wrapText="1"/>
    </xf>
    <xf numFmtId="0" fontId="0" fillId="4" borderId="1" xfId="0" quotePrefix="1" applyFill="1" applyBorder="1" applyAlignment="1">
      <alignment vertical="top" wrapText="1"/>
    </xf>
    <xf numFmtId="0" fontId="0" fillId="4" borderId="1" xfId="0" quotePrefix="1" applyFill="1" applyBorder="1" applyAlignment="1">
      <alignment vertical="top"/>
    </xf>
    <xf numFmtId="0" fontId="0" fillId="0" borderId="0" xfId="0" applyAlignment="1">
      <alignment vertical="top"/>
    </xf>
    <xf numFmtId="0" fontId="0" fillId="3" borderId="0" xfId="0" applyFill="1" applyAlignment="1">
      <alignment vertical="top" wrapText="1"/>
    </xf>
    <xf numFmtId="0" fontId="31" fillId="0" borderId="0" xfId="0" applyFont="1" applyAlignment="1">
      <alignment vertical="top"/>
    </xf>
    <xf numFmtId="0" fontId="32" fillId="0" borderId="0" xfId="0" applyFont="1" applyAlignment="1">
      <alignment vertical="top"/>
    </xf>
    <xf numFmtId="0" fontId="31" fillId="3" borderId="0" xfId="0" applyFont="1" applyFill="1" applyAlignment="1">
      <alignment vertical="top" wrapText="1"/>
    </xf>
    <xf numFmtId="0" fontId="31" fillId="0" borderId="0" xfId="0" applyFont="1" applyAlignment="1">
      <alignment vertical="top" wrapText="1"/>
    </xf>
    <xf numFmtId="0" fontId="0" fillId="4" borderId="2" xfId="0" applyFill="1" applyBorder="1" applyAlignment="1">
      <alignment vertical="top"/>
    </xf>
    <xf numFmtId="0" fontId="0" fillId="4" borderId="2" xfId="0" applyFill="1" applyBorder="1" applyAlignment="1">
      <alignment vertical="top" wrapText="1"/>
    </xf>
    <xf numFmtId="0" fontId="33" fillId="0" borderId="0" xfId="0" applyFont="1" applyAlignment="1">
      <alignment vertical="top"/>
    </xf>
    <xf numFmtId="0" fontId="33" fillId="3" borderId="1" xfId="0" applyFont="1" applyFill="1" applyBorder="1" applyAlignment="1">
      <alignment vertical="top"/>
    </xf>
    <xf numFmtId="0" fontId="34" fillId="4" borderId="1" xfId="0" quotePrefix="1" applyFont="1" applyFill="1" applyBorder="1" applyAlignment="1">
      <alignment vertical="top" wrapText="1"/>
    </xf>
    <xf numFmtId="0" fontId="9" fillId="4" borderId="1" xfId="0" applyFont="1" applyFill="1" applyBorder="1" applyAlignment="1">
      <alignment vertical="top" wrapText="1"/>
    </xf>
    <xf numFmtId="0" fontId="8" fillId="4" borderId="1" xfId="0" applyFont="1" applyFill="1" applyBorder="1" applyAlignment="1">
      <alignment vertical="top" wrapText="1"/>
    </xf>
    <xf numFmtId="0" fontId="0" fillId="4" borderId="1" xfId="0" applyFill="1" applyBorder="1"/>
    <xf numFmtId="0" fontId="0" fillId="4" borderId="0" xfId="0" applyFill="1" applyAlignment="1">
      <alignment vertical="top"/>
    </xf>
    <xf numFmtId="0" fontId="10" fillId="4" borderId="1" xfId="0" applyFont="1" applyFill="1" applyBorder="1" applyAlignment="1">
      <alignment vertical="top"/>
    </xf>
    <xf numFmtId="0" fontId="33" fillId="0" borderId="1" xfId="0" applyFont="1" applyBorder="1" applyAlignment="1">
      <alignment vertical="top" wrapText="1"/>
    </xf>
    <xf numFmtId="0" fontId="20" fillId="4" borderId="1" xfId="1" applyFill="1" applyBorder="1" applyAlignment="1">
      <alignment vertical="top"/>
    </xf>
    <xf numFmtId="0" fontId="7" fillId="4" borderId="1" xfId="0" applyFont="1" applyFill="1" applyBorder="1" applyAlignment="1">
      <alignment vertical="top" wrapText="1"/>
    </xf>
    <xf numFmtId="0" fontId="6" fillId="4" borderId="1" xfId="0" applyFont="1" applyFill="1" applyBorder="1" applyAlignment="1">
      <alignment vertical="top" wrapText="1"/>
    </xf>
    <xf numFmtId="0" fontId="5" fillId="4" borderId="1" xfId="0" quotePrefix="1" applyFont="1" applyFill="1" applyBorder="1" applyAlignment="1">
      <alignment vertical="top" wrapText="1"/>
    </xf>
    <xf numFmtId="0" fontId="4" fillId="0" borderId="0" xfId="0" applyFont="1" applyAlignment="1">
      <alignment vertical="center" wrapText="1"/>
    </xf>
    <xf numFmtId="0" fontId="4" fillId="4" borderId="1" xfId="0" applyFont="1" applyFill="1" applyBorder="1" applyAlignment="1">
      <alignment vertical="top" wrapText="1"/>
    </xf>
    <xf numFmtId="0" fontId="3" fillId="0" borderId="0" xfId="0" applyFont="1" applyAlignment="1">
      <alignment vertical="center" wrapText="1"/>
    </xf>
    <xf numFmtId="0" fontId="2" fillId="0" borderId="0" xfId="0" applyFont="1" applyAlignment="1">
      <alignment vertical="center" wrapText="1"/>
    </xf>
    <xf numFmtId="0" fontId="0" fillId="0" borderId="0" xfId="0" applyAlignment="1">
      <alignment horizontal="center" vertical="center" wrapText="1"/>
    </xf>
    <xf numFmtId="17" fontId="15" fillId="0" borderId="0" xfId="0" applyNumberFormat="1" applyFont="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colors>
    <mruColors>
      <color rgb="FFFFCCCC"/>
      <color rgb="FFFF7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نسق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arxiv.org/abs/2407.0531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D07519-5A23-425B-AABD-F3E4E3E634F0}">
  <dimension ref="A1:B17"/>
  <sheetViews>
    <sheetView zoomScale="66" zoomScaleNormal="66" workbookViewId="0">
      <selection activeCell="B6" sqref="B6"/>
    </sheetView>
  </sheetViews>
  <sheetFormatPr defaultColWidth="8.6640625" defaultRowHeight="14" x14ac:dyDescent="0.3"/>
  <cols>
    <col min="1" max="1" width="31.6640625" style="6" customWidth="1"/>
    <col min="2" max="2" width="50.08203125" style="6" customWidth="1"/>
    <col min="3" max="16384" width="8.6640625" style="6"/>
  </cols>
  <sheetData>
    <row r="1" spans="1:2" ht="14.5" x14ac:dyDescent="0.35">
      <c r="A1" s="10" t="s">
        <v>0</v>
      </c>
      <c r="B1" s="11" t="s">
        <v>1</v>
      </c>
    </row>
    <row r="2" spans="1:2" ht="56" x14ac:dyDescent="0.3">
      <c r="A2" s="5" t="s">
        <v>2</v>
      </c>
      <c r="B2" s="6" t="s">
        <v>682</v>
      </c>
    </row>
    <row r="3" spans="1:2" ht="54" customHeight="1" x14ac:dyDescent="0.3">
      <c r="A3" s="5" t="s">
        <v>3</v>
      </c>
      <c r="B3" s="5" t="s">
        <v>390</v>
      </c>
    </row>
    <row r="4" spans="1:2" ht="70.5" customHeight="1" x14ac:dyDescent="0.3">
      <c r="A4" s="5" t="s">
        <v>4</v>
      </c>
      <c r="B4" s="4" t="s">
        <v>59</v>
      </c>
    </row>
    <row r="5" spans="1:2" ht="82.5" customHeight="1" x14ac:dyDescent="0.3">
      <c r="A5" s="5" t="s">
        <v>5</v>
      </c>
      <c r="B5" s="5" t="s">
        <v>60</v>
      </c>
    </row>
    <row r="6" spans="1:2" ht="54.75" customHeight="1" x14ac:dyDescent="0.3">
      <c r="A6" s="5" t="s">
        <v>6</v>
      </c>
      <c r="B6" s="4" t="s">
        <v>61</v>
      </c>
    </row>
    <row r="7" spans="1:2" ht="14.5" x14ac:dyDescent="0.35">
      <c r="A7" s="12"/>
    </row>
    <row r="8" spans="1:2" ht="18.5" x14ac:dyDescent="0.45">
      <c r="A8" s="13" t="s">
        <v>7</v>
      </c>
    </row>
    <row r="9" spans="1:2" ht="14.5" x14ac:dyDescent="0.35">
      <c r="A9" s="12" t="s">
        <v>8</v>
      </c>
      <c r="B9" s="12" t="s">
        <v>9</v>
      </c>
    </row>
    <row r="10" spans="1:2" ht="110" customHeight="1" x14ac:dyDescent="0.3">
      <c r="A10" s="9" t="s">
        <v>65</v>
      </c>
      <c r="B10" s="4" t="s">
        <v>681</v>
      </c>
    </row>
    <row r="11" spans="1:2" ht="83.5" customHeight="1" x14ac:dyDescent="0.3">
      <c r="A11" s="5" t="s">
        <v>66</v>
      </c>
      <c r="B11" s="5" t="s">
        <v>64</v>
      </c>
    </row>
    <row r="12" spans="1:2" ht="73.5" customHeight="1" x14ac:dyDescent="0.3">
      <c r="A12" s="5" t="s">
        <v>67</v>
      </c>
      <c r="B12" s="5" t="s">
        <v>62</v>
      </c>
    </row>
    <row r="13" spans="1:2" ht="79" customHeight="1" x14ac:dyDescent="0.3">
      <c r="A13" s="5" t="s">
        <v>68</v>
      </c>
      <c r="B13" s="4" t="s">
        <v>63</v>
      </c>
    </row>
    <row r="14" spans="1:2" x14ac:dyDescent="0.3">
      <c r="A14" s="14"/>
      <c r="B14" s="5"/>
    </row>
    <row r="15" spans="1:2" x14ac:dyDescent="0.3">
      <c r="A15" s="79"/>
      <c r="B15" s="5"/>
    </row>
    <row r="16" spans="1:2" x14ac:dyDescent="0.3">
      <c r="A16" s="79"/>
      <c r="B16" s="5"/>
    </row>
    <row r="17" spans="1:2" x14ac:dyDescent="0.3">
      <c r="A17" s="14"/>
      <c r="B17" s="5"/>
    </row>
  </sheetData>
  <mergeCells count="1">
    <mergeCell ref="A15:A16"/>
  </mergeCells>
  <pageMargins left="0.7" right="0.7" top="0.75" bottom="0.75" header="0.3" footer="0.3"/>
  <pageSetup paperSize="8"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DEE0AD-56DB-4754-B2C2-20F9B5902FE9}">
  <dimension ref="A1:C42"/>
  <sheetViews>
    <sheetView zoomScale="79" workbookViewId="0">
      <selection activeCell="D6" sqref="D6"/>
    </sheetView>
  </sheetViews>
  <sheetFormatPr defaultColWidth="9" defaultRowHeight="14" x14ac:dyDescent="0.3"/>
  <cols>
    <col min="1" max="1" width="13.08203125" style="31" customWidth="1"/>
    <col min="2" max="2" width="38.08203125" style="19" customWidth="1"/>
    <col min="3" max="3" width="61.33203125" style="21" customWidth="1"/>
    <col min="4" max="16384" width="9" style="2"/>
  </cols>
  <sheetData>
    <row r="1" spans="1:3" x14ac:dyDescent="0.3">
      <c r="A1" s="30" t="s">
        <v>10</v>
      </c>
      <c r="B1" s="15" t="s">
        <v>11</v>
      </c>
      <c r="C1" s="20" t="s">
        <v>12</v>
      </c>
    </row>
    <row r="2" spans="1:3" ht="42" x14ac:dyDescent="0.3">
      <c r="A2" s="31" t="s">
        <v>13</v>
      </c>
      <c r="B2" s="16" t="s">
        <v>71</v>
      </c>
      <c r="C2" s="17" t="s">
        <v>77</v>
      </c>
    </row>
    <row r="3" spans="1:3" ht="57.5" customHeight="1" x14ac:dyDescent="0.3">
      <c r="A3" s="31" t="s">
        <v>13</v>
      </c>
      <c r="B3" s="16" t="s">
        <v>72</v>
      </c>
      <c r="C3" s="17" t="s">
        <v>78</v>
      </c>
    </row>
    <row r="4" spans="1:3" ht="64" customHeight="1" x14ac:dyDescent="0.3">
      <c r="A4" s="31" t="s">
        <v>14</v>
      </c>
      <c r="B4" s="16" t="s">
        <v>75</v>
      </c>
      <c r="C4" s="17" t="s">
        <v>79</v>
      </c>
    </row>
    <row r="5" spans="1:3" ht="61.5" customHeight="1" x14ac:dyDescent="0.3">
      <c r="A5" s="31" t="s">
        <v>14</v>
      </c>
      <c r="B5" s="17" t="s">
        <v>76</v>
      </c>
      <c r="C5" s="17" t="s">
        <v>79</v>
      </c>
    </row>
    <row r="6" spans="1:3" ht="89.5" customHeight="1" x14ac:dyDescent="0.3">
      <c r="A6" s="31" t="s">
        <v>145</v>
      </c>
      <c r="B6" s="17" t="s">
        <v>146</v>
      </c>
      <c r="C6" s="5" t="s">
        <v>150</v>
      </c>
    </row>
    <row r="7" spans="1:3" ht="52.5" customHeight="1" x14ac:dyDescent="0.3">
      <c r="A7" s="32" t="s">
        <v>15</v>
      </c>
      <c r="B7" s="16" t="s">
        <v>73</v>
      </c>
      <c r="C7" s="17" t="s">
        <v>69</v>
      </c>
    </row>
    <row r="8" spans="1:3" ht="42" x14ac:dyDescent="0.3">
      <c r="A8" s="32" t="s">
        <v>15</v>
      </c>
      <c r="B8" s="16" t="s">
        <v>74</v>
      </c>
      <c r="C8" s="17" t="s">
        <v>70</v>
      </c>
    </row>
    <row r="10" spans="1:3" x14ac:dyDescent="0.3">
      <c r="A10" s="33"/>
      <c r="B10" s="18"/>
    </row>
    <row r="11" spans="1:3" ht="14" customHeight="1" x14ac:dyDescent="0.3">
      <c r="A11" s="34"/>
      <c r="B11" s="22"/>
      <c r="C11" s="22"/>
    </row>
    <row r="12" spans="1:3" x14ac:dyDescent="0.3">
      <c r="A12" s="34"/>
      <c r="B12" s="22"/>
      <c r="C12" s="22"/>
    </row>
    <row r="13" spans="1:3" x14ac:dyDescent="0.3">
      <c r="A13" s="34"/>
      <c r="B13" s="22"/>
      <c r="C13" s="22"/>
    </row>
    <row r="14" spans="1:3" x14ac:dyDescent="0.3">
      <c r="A14" s="34"/>
      <c r="B14" s="22"/>
      <c r="C14" s="22"/>
    </row>
    <row r="15" spans="1:3" x14ac:dyDescent="0.3">
      <c r="A15" s="34"/>
      <c r="B15" s="22"/>
      <c r="C15" s="22"/>
    </row>
    <row r="16" spans="1:3" x14ac:dyDescent="0.3">
      <c r="A16" s="34"/>
      <c r="B16" s="22"/>
      <c r="C16" s="22"/>
    </row>
    <row r="17" spans="1:3" x14ac:dyDescent="0.3">
      <c r="A17" s="34"/>
      <c r="B17" s="22"/>
      <c r="C17" s="22"/>
    </row>
    <row r="18" spans="1:3" x14ac:dyDescent="0.3">
      <c r="A18" s="34"/>
      <c r="B18" s="22"/>
      <c r="C18" s="22"/>
    </row>
    <row r="19" spans="1:3" x14ac:dyDescent="0.3">
      <c r="A19" s="34"/>
      <c r="B19" s="22"/>
      <c r="C19" s="22"/>
    </row>
    <row r="20" spans="1:3" x14ac:dyDescent="0.3">
      <c r="A20" s="34"/>
      <c r="B20" s="22"/>
      <c r="C20" s="22"/>
    </row>
    <row r="21" spans="1:3" x14ac:dyDescent="0.3">
      <c r="A21" s="34"/>
      <c r="B21" s="22"/>
      <c r="C21" s="22"/>
    </row>
    <row r="22" spans="1:3" x14ac:dyDescent="0.3">
      <c r="A22" s="34"/>
      <c r="B22" s="22"/>
      <c r="C22" s="22"/>
    </row>
    <row r="23" spans="1:3" x14ac:dyDescent="0.3">
      <c r="A23" s="34"/>
      <c r="B23" s="22"/>
      <c r="C23" s="22"/>
    </row>
    <row r="24" spans="1:3" x14ac:dyDescent="0.3">
      <c r="A24" s="34"/>
      <c r="B24" s="22"/>
      <c r="C24" s="22"/>
    </row>
    <row r="25" spans="1:3" x14ac:dyDescent="0.3">
      <c r="A25" s="34"/>
      <c r="B25" s="22"/>
      <c r="C25" s="22"/>
    </row>
    <row r="26" spans="1:3" x14ac:dyDescent="0.3">
      <c r="A26" s="34"/>
      <c r="B26" s="22"/>
      <c r="C26" s="22"/>
    </row>
    <row r="27" spans="1:3" x14ac:dyDescent="0.3">
      <c r="A27" s="34"/>
      <c r="B27" s="22"/>
      <c r="C27" s="22"/>
    </row>
    <row r="28" spans="1:3" x14ac:dyDescent="0.3">
      <c r="A28" s="34"/>
      <c r="B28" s="22"/>
      <c r="C28" s="22"/>
    </row>
    <row r="29" spans="1:3" x14ac:dyDescent="0.3">
      <c r="A29" s="34"/>
      <c r="B29" s="22"/>
      <c r="C29" s="22"/>
    </row>
    <row r="30" spans="1:3" x14ac:dyDescent="0.3">
      <c r="A30" s="34"/>
      <c r="B30" s="22"/>
      <c r="C30" s="22"/>
    </row>
    <row r="31" spans="1:3" x14ac:dyDescent="0.3">
      <c r="A31" s="34"/>
      <c r="B31" s="22"/>
      <c r="C31" s="22"/>
    </row>
    <row r="32" spans="1:3" x14ac:dyDescent="0.3">
      <c r="A32" s="34"/>
      <c r="B32" s="22"/>
      <c r="C32" s="22"/>
    </row>
    <row r="33" spans="1:3" x14ac:dyDescent="0.3">
      <c r="A33" s="34"/>
      <c r="B33" s="22"/>
      <c r="C33" s="22"/>
    </row>
    <row r="34" spans="1:3" x14ac:dyDescent="0.3">
      <c r="A34" s="34"/>
      <c r="B34" s="17"/>
      <c r="C34" s="17"/>
    </row>
    <row r="35" spans="1:3" x14ac:dyDescent="0.3">
      <c r="A35" s="34"/>
      <c r="B35" s="17"/>
      <c r="C35" s="17"/>
    </row>
    <row r="36" spans="1:3" x14ac:dyDescent="0.3">
      <c r="A36" s="34"/>
      <c r="B36" s="17"/>
      <c r="C36" s="17"/>
    </row>
    <row r="37" spans="1:3" x14ac:dyDescent="0.3">
      <c r="A37" s="34"/>
      <c r="B37" s="17"/>
      <c r="C37" s="17"/>
    </row>
    <row r="38" spans="1:3" x14ac:dyDescent="0.3">
      <c r="A38" s="34"/>
      <c r="B38" s="17"/>
      <c r="C38" s="17"/>
    </row>
    <row r="39" spans="1:3" x14ac:dyDescent="0.3">
      <c r="A39" s="34"/>
      <c r="B39" s="17"/>
      <c r="C39" s="17"/>
    </row>
    <row r="40" spans="1:3" x14ac:dyDescent="0.3">
      <c r="A40" s="34"/>
      <c r="B40" s="17"/>
      <c r="C40" s="17"/>
    </row>
    <row r="41" spans="1:3" x14ac:dyDescent="0.3">
      <c r="A41" s="34"/>
      <c r="B41" s="17"/>
      <c r="C41" s="17"/>
    </row>
    <row r="42" spans="1:3" x14ac:dyDescent="0.3">
      <c r="A42" s="34"/>
      <c r="B42" s="17"/>
      <c r="C42" s="17"/>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9626C-A2AF-4A7A-9807-5C309C1F7ED3}">
  <dimension ref="A1:F8"/>
  <sheetViews>
    <sheetView topLeftCell="A7" zoomScale="72" workbookViewId="0">
      <selection activeCell="B2" sqref="B2"/>
    </sheetView>
  </sheetViews>
  <sheetFormatPr defaultColWidth="9" defaultRowHeight="14" x14ac:dyDescent="0.3"/>
  <cols>
    <col min="1" max="1" width="9" style="5"/>
    <col min="2" max="2" width="26.83203125" style="5" customWidth="1"/>
    <col min="3" max="3" width="39.58203125" style="5" customWidth="1"/>
    <col min="4" max="4" width="51.6640625" style="5" customWidth="1"/>
    <col min="5" max="16384" width="9" style="5"/>
  </cols>
  <sheetData>
    <row r="1" spans="1:6" ht="14.5" x14ac:dyDescent="0.3">
      <c r="A1" s="25" t="s">
        <v>16</v>
      </c>
      <c r="B1" s="25" t="s">
        <v>8</v>
      </c>
      <c r="C1" s="23" t="s">
        <v>17</v>
      </c>
      <c r="D1" s="23" t="s">
        <v>18</v>
      </c>
      <c r="E1" s="23" t="s">
        <v>19</v>
      </c>
      <c r="F1" s="23"/>
    </row>
    <row r="2" spans="1:6" ht="262" customHeight="1" x14ac:dyDescent="0.3">
      <c r="A2" s="5" t="s">
        <v>20</v>
      </c>
      <c r="B2" s="5" t="s">
        <v>113</v>
      </c>
      <c r="C2" s="5" t="s">
        <v>151</v>
      </c>
      <c r="D2" s="5" t="str">
        <f>"(" &amp; _xlfn.XLOOKUP("Spiking neural network*",'search terms'!B:B,'search terms'!C:C) &amp;
") AND (" &amp; _xlfn.XLOOKUP("Hybrid ANN-SNN",'search terms'!B:B,'search terms'!C:C) &amp;
") AND (" &amp; _xlfn.XLOOKUP("Learnable encoding",'search terms'!B:B,'search terms'!C:C) &amp;
")"</f>
        <v>("Spiking neural network*" OR "SNN" OR "neuromorphic network*" OR "deep spiking network*" OR "pulsed neural network*" OR "event-driven neural network" OR "event-based spiking network") AND ("Hybrid ANN-SNN" OR "ANN-SNN conversion" OR "hybrid neural network*" OR "hybrid spiking network*" OR "artificial and spiking neural network*") AND ( "Learnable encoding" OR "Adaptive encoding" OR "learnable spike encoding" OR "adaptive spike encoding" OR "trainable encoder" OR "differentiable encoding" OR "plastic encoding" OR "adaptive threshold encoding" OR "learnable threshold" OR "surrogate gradient")</v>
      </c>
      <c r="E2" s="5">
        <f>ROWS(_xlfn.TEXTSPLIT(D2,," "))</f>
        <v>78</v>
      </c>
    </row>
    <row r="3" spans="1:6" ht="182" customHeight="1" x14ac:dyDescent="0.3">
      <c r="A3" s="5" t="s">
        <v>21</v>
      </c>
      <c r="B3" s="5" t="s">
        <v>198</v>
      </c>
      <c r="C3" s="5" t="s">
        <v>148</v>
      </c>
      <c r="D3" s="5" t="str">
        <f>"("&amp;_xlfn.XLOOKUP("Adaptive encoding",'search terms'!B:B,'search terms'!C:C)&amp;") AND ("&amp;_xlfn.XLOOKUP("Neuromorphic dataset*",'search terms'!B:B,'search terms'!C:C) &amp;") AND ("&amp;_xlfn.XLOOKUP("Traditional encoding",'search terms'!B:B,'search terms'!C:C) &amp; ")"</f>
        <v>( "Learnable encoding" OR "Adaptive encoding" OR "learnable spike encoding" OR "adaptive spike encoding" OR "trainable encoder" OR "differentiable encoding" OR "plastic encoding" OR "adaptive threshold encoding" OR "learnable threshold" OR "surrogate gradient") AND ("event-based dataset*" OR "DVS Gesture" OR "N-MNIST" OR "SHD" OR "Spiking Heidelberg Digits" OR "CIFAR-10-DVS" OR "neuromorphic benchmark") AND ("TTFS" OR "time-to-first-spike" OR "static" OR "hand-crafted" OR "conventional" OR "rule-based" OR "traditional encoding" OR "rate" OR "temporal encoding" OR "population encoding" OR "direct encoding" OR "latency" OR "fixed threshold" OR "non-adaptive" OR "Poisson")</v>
      </c>
      <c r="E3" s="5">
        <f t="shared" ref="E3:E5" si="0">ROWS(_xlfn.TEXTSPLIT(D3,," "))</f>
        <v>87</v>
      </c>
    </row>
    <row r="4" spans="1:6" ht="159.5" customHeight="1" x14ac:dyDescent="0.3">
      <c r="A4" s="5" t="s">
        <v>22</v>
      </c>
      <c r="B4" s="5" t="s">
        <v>197</v>
      </c>
      <c r="C4" s="5" t="s">
        <v>144</v>
      </c>
      <c r="D4" s="5" t="str">
        <f>"(" &amp; _xlfn.XLOOKUP("Neuromorphic dataset*",'search terms'!B:B,'search terms'!C:C) &amp; ") AND (" &amp; _xlfn.XLOOKUP("Simulation framework*",'search terms'!B:B,'search terms'!C:C) &amp;
") AND (" &amp; _xlfn.XLOOKUP("Adaptive encoding",'search terms'!B:B,'search terms'!C:C) &amp; ")"</f>
        <v>("event-based dataset*" OR "DVS Gesture" OR "N-MNIST" OR "SHD" OR "Spiking Heidelberg Digits" OR "CIFAR-10-DVS" OR "neuromorphic benchmark") AND ("software simulation" OR "neuromorphic hardware" OR "Loihi" OR "SpiNNaker" OR "TrueNorth" OR "BindsNET" OR "snnTorch" OR "neuromorphic simulator") AND ( "Learnable encoding" OR "Adaptive encoding" OR "learnable spike encoding" OR "adaptive spike encoding" OR "trainable encoder" OR "differentiable encoding" OR "plastic encoding" OR "adaptive threshold encoding" OR "learnable threshold" OR "surrogate gradient")</v>
      </c>
      <c r="E4" s="5">
        <f t="shared" si="0"/>
        <v>71</v>
      </c>
    </row>
    <row r="5" spans="1:6" ht="173.5" customHeight="1" x14ac:dyDescent="0.3">
      <c r="A5" s="5" t="s">
        <v>23</v>
      </c>
      <c r="B5" s="5" t="s">
        <v>199</v>
      </c>
      <c r="C5" s="5" t="s">
        <v>149</v>
      </c>
      <c r="D5" s="5" t="str">
        <f>"(" &amp; _xlfn.XLOOKUP("Learnable encoding",'search terms'!B:B,'search terms'!C:C) &amp; ") AND (" &amp; _xlfn.XLOOKUP( "Spiking neural network*",'search terms'!B:B,'search terms'!C:C) &amp;") AND (" &amp; _xlfn.XLOOKUP( "Simulation framework*",'search terms'!B:B,'search terms'!C:C) &amp;")"</f>
        <v>( "Learnable encoding" OR "Adaptive encoding" OR "learnable spike encoding" OR "adaptive spike encoding" OR "trainable encoder" OR "differentiable encoding" OR "plastic encoding" OR "adaptive threshold encoding" OR "learnable threshold" OR "surrogate gradient") AND ("Spiking neural network*" OR "SNN" OR "neuromorphic network*" OR "deep spiking network*" OR "pulsed neural network*" OR "event-driven neural network" OR "event-based spiking network") AND ("software simulation" OR "neuromorphic hardware" OR "Loihi" OR "SpiNNaker" OR "TrueNorth" OR "BindsNET" OR "snnTorch" OR "neuromorphic simulator")</v>
      </c>
      <c r="E5" s="5">
        <f t="shared" si="0"/>
        <v>77</v>
      </c>
    </row>
    <row r="6" spans="1:6" ht="194" customHeight="1" x14ac:dyDescent="0.3">
      <c r="A6" s="5" t="s">
        <v>24</v>
      </c>
      <c r="B6" s="5" t="s">
        <v>200</v>
      </c>
      <c r="C6" s="5" t="s">
        <v>147</v>
      </c>
      <c r="D6" s="5" t="str">
        <f>"(" &amp; _xlfn.XLOOKUP("Spiking neural network*",'search terms'!B:B,'search terms'!C:C) &amp;
") AND (" &amp; _xlfn.XLOOKUP("Hybrid ANN-SNN",'search terms'!B:B,'search terms'!C:C) &amp;
") AND (" &amp; _xlfn.XLOOKUP("Neuromorphic dataset*",'search terms'!B:B,'search terms'!C:C) &amp;
") AND (" &amp; _xlfn.XLOOKUP("Traditional encoding",'search terms'!B:B,'search terms'!C:C) &amp; ")"</f>
        <v>("Spiking neural network*" OR "SNN" OR "neuromorphic network*" OR "deep spiking network*" OR "pulsed neural network*" OR "event-driven neural network" OR "event-based spiking network") AND ("Hybrid ANN-SNN" OR "ANN-SNN conversion" OR "hybrid neural network*" OR "hybrid spiking network*" OR "artificial and spiking neural network*") AND ("event-based dataset*" OR "DVS Gesture" OR "N-MNIST" OR "SHD" OR "Spiking Heidelberg Digits" OR "CIFAR-10-DVS" OR "neuromorphic benchmark") AND ("TTFS" OR "time-to-first-spike" OR "static" OR "hand-crafted" OR "conventional" OR "rule-based" OR "traditional encoding" OR "rate" OR "temporal encoding" OR "population encoding" OR "direct encoding" OR "latency" OR "fixed threshold" OR "non-adaptive" OR "Poisson")</v>
      </c>
      <c r="E6" s="5">
        <f>ROWS(_xlfn.TEXTSPLIT(D6,," "))</f>
        <v>98</v>
      </c>
    </row>
    <row r="7" spans="1:6" ht="137" customHeight="1" x14ac:dyDescent="0.3">
      <c r="A7" s="5" t="s">
        <v>111</v>
      </c>
      <c r="B7" s="5" t="s">
        <v>114</v>
      </c>
      <c r="C7" s="5" t="s">
        <v>112</v>
      </c>
      <c r="D7" s="5" t="str">
        <f>"(" &amp; _xlfn.XLOOKUP("Spiking neural network*",'search terms'!B:B,'search terms'!C:C) &amp;
") AND (" &amp; _xlfn.XLOOKUP("Hybrid ANN-SNN",'search terms'!B:B,'search terms'!C:C) &amp;
") AND (" &amp; _xlfn.XLOOKUP("Simulation framework*",'search terms'!B:B,'search terms'!C:C) &amp; ")"</f>
        <v>("Spiking neural network*" OR "SNN" OR "neuromorphic network*" OR "deep spiking network*" OR "pulsed neural network*" OR "event-driven neural network" OR "event-based spiking network") AND ("Hybrid ANN-SNN" OR "ANN-SNN conversion" OR "hybrid neural network*" OR "hybrid spiking network*" OR "artificial and spiking neural network*") AND ("software simulation" OR "neuromorphic hardware" OR "Loihi" OR "SpiNNaker" OR "TrueNorth" OR "BindsNET" OR "snnTorch" OR "neuromorphic simulator")</v>
      </c>
      <c r="E7" s="5">
        <f>ROWS(_xlfn.TEXTSPLIT(D7,," "))</f>
        <v>63</v>
      </c>
    </row>
    <row r="8" spans="1:6" ht="112" x14ac:dyDescent="0.3">
      <c r="A8" s="5" t="s">
        <v>269</v>
      </c>
      <c r="B8" s="5" t="s">
        <v>270</v>
      </c>
      <c r="C8" s="5" t="s">
        <v>268</v>
      </c>
      <c r="D8" s="5" t="str">
        <f>"(" &amp; _xlfn.XLOOKUP("Spiking neural network*",'search terms'!B:B,'search terms'!C:C) &amp;
") AND (" &amp; _xlfn.XLOOKUP("Adaptive encoding",'search terms'!B:B,'search terms'!C:C) &amp; ")"</f>
        <v>("Spiking neural network*" OR "SNN" OR "neuromorphic network*" OR "deep spiking network*" OR "pulsed neural network*" OR "event-driven neural network" OR "event-based spiking network") AND ( "Learnable encoding" OR "Adaptive encoding" OR "learnable spike encoding" OR "adaptive spike encoding" OR "trainable encoder" OR "differentiable encoding" OR "plastic encoding" OR "adaptive threshold encoding" OR "learnable threshold" OR "surrogate gradient")</v>
      </c>
      <c r="E8" s="5">
        <f>ROWS(_xlfn.TEXTSPLIT(D8,," "))</f>
        <v>58</v>
      </c>
    </row>
  </sheetData>
  <phoneticPr fontId="29"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840BFD-1C6E-493A-8489-A052880D014D}">
  <dimension ref="A1:C7"/>
  <sheetViews>
    <sheetView workbookViewId="0">
      <selection activeCell="D13" sqref="D13"/>
    </sheetView>
  </sheetViews>
  <sheetFormatPr defaultRowHeight="14" x14ac:dyDescent="0.3"/>
  <cols>
    <col min="1" max="1" width="6.33203125" customWidth="1"/>
    <col min="2" max="2" width="36.58203125" customWidth="1"/>
  </cols>
  <sheetData>
    <row r="1" spans="1:3" ht="14.5" x14ac:dyDescent="0.35">
      <c r="A1" s="3" t="s">
        <v>25</v>
      </c>
      <c r="B1" s="3" t="s">
        <v>26</v>
      </c>
      <c r="C1" s="3" t="s">
        <v>27</v>
      </c>
    </row>
    <row r="2" spans="1:3" x14ac:dyDescent="0.3">
      <c r="A2" t="s">
        <v>28</v>
      </c>
      <c r="B2" t="s">
        <v>29</v>
      </c>
      <c r="C2" t="s">
        <v>30</v>
      </c>
    </row>
    <row r="3" spans="1:3" x14ac:dyDescent="0.3">
      <c r="A3" t="s">
        <v>31</v>
      </c>
      <c r="B3" t="s">
        <v>32</v>
      </c>
      <c r="C3" t="s">
        <v>33</v>
      </c>
    </row>
    <row r="4" spans="1:3" x14ac:dyDescent="0.3">
      <c r="A4" t="s">
        <v>34</v>
      </c>
      <c r="B4" t="s">
        <v>35</v>
      </c>
      <c r="C4" t="s">
        <v>36</v>
      </c>
    </row>
    <row r="5" spans="1:3" x14ac:dyDescent="0.3">
      <c r="A5" t="s">
        <v>37</v>
      </c>
      <c r="B5" t="s">
        <v>38</v>
      </c>
      <c r="C5" t="s">
        <v>39</v>
      </c>
    </row>
    <row r="6" spans="1:3" x14ac:dyDescent="0.3">
      <c r="A6" t="s">
        <v>40</v>
      </c>
      <c r="B6" t="s">
        <v>41</v>
      </c>
      <c r="C6" t="s">
        <v>42</v>
      </c>
    </row>
    <row r="7" spans="1:3" x14ac:dyDescent="0.3">
      <c r="A7" t="s">
        <v>43</v>
      </c>
      <c r="B7" t="s">
        <v>44</v>
      </c>
      <c r="C7" t="s">
        <v>45</v>
      </c>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96A50-B33E-462C-99FB-12BB8B49D914}">
  <dimension ref="A1:H88"/>
  <sheetViews>
    <sheetView zoomScale="73" zoomScaleNormal="151" workbookViewId="0">
      <selection activeCell="E3" sqref="E3"/>
    </sheetView>
  </sheetViews>
  <sheetFormatPr defaultColWidth="8.6640625" defaultRowHeight="14" x14ac:dyDescent="0.3"/>
  <cols>
    <col min="1" max="1" width="16.08203125" style="14" customWidth="1"/>
    <col min="2" max="2" width="8.6640625" style="5" customWidth="1"/>
    <col min="3" max="3" width="53.6640625" style="5" customWidth="1"/>
    <col min="4" max="4" width="9.5" style="5" customWidth="1"/>
    <col min="5" max="5" width="10.08203125" style="27" customWidth="1"/>
    <col min="6" max="6" width="24.83203125" style="5" customWidth="1"/>
    <col min="7" max="7" width="30.58203125" style="5" customWidth="1"/>
    <col min="8" max="8" width="12.25" style="5" customWidth="1"/>
    <col min="9" max="16384" width="8.6640625" style="5"/>
  </cols>
  <sheetData>
    <row r="1" spans="1:8" ht="14.5" x14ac:dyDescent="0.3">
      <c r="A1" s="36" t="s">
        <v>26</v>
      </c>
      <c r="B1" s="23" t="s">
        <v>16</v>
      </c>
      <c r="C1" s="23" t="s">
        <v>46</v>
      </c>
      <c r="D1" s="23" t="s">
        <v>47</v>
      </c>
      <c r="E1" s="80" t="s">
        <v>683</v>
      </c>
      <c r="F1" s="23" t="s">
        <v>48</v>
      </c>
      <c r="G1" s="23" t="s">
        <v>49</v>
      </c>
      <c r="H1" s="23" t="s">
        <v>50</v>
      </c>
    </row>
    <row r="2" spans="1:8" ht="304.5" customHeight="1" x14ac:dyDescent="0.3">
      <c r="A2" s="37" t="s">
        <v>29</v>
      </c>
      <c r="B2" s="35" t="s">
        <v>20</v>
      </c>
      <c r="C2" s="5" t="s">
        <v>152</v>
      </c>
      <c r="D2" s="14">
        <v>13</v>
      </c>
      <c r="E2" s="27">
        <v>45968</v>
      </c>
      <c r="F2" s="5" t="s">
        <v>153</v>
      </c>
      <c r="G2" s="5" t="s">
        <v>169</v>
      </c>
      <c r="H2" s="5" t="s">
        <v>107</v>
      </c>
    </row>
    <row r="3" spans="1:8" ht="154" x14ac:dyDescent="0.3">
      <c r="A3" s="37" t="s">
        <v>32</v>
      </c>
      <c r="B3" s="35" t="s">
        <v>20</v>
      </c>
      <c r="C3" s="5" t="str">
        <f>_xlfn.XLOOKUP("Q1",queries!A2, queries!D2)</f>
        <v>("Spiking neural network*" OR "SNN" OR "neuromorphic network*" OR "deep spiking network*" OR "pulsed neural network*" OR "event-driven neural network" OR "event-based spiking network") AND ("Hybrid ANN-SNN" OR "ANN-SNN conversion" OR "hybrid neural network*" OR "hybrid spiking network*" OR "artificial and spiking neural network*") AND ( "Learnable encoding" OR "Adaptive encoding" OR "learnable spike encoding" OR "adaptive spike encoding" OR "trainable encoder" OR "differentiable encoding" OR "plastic encoding" OR "adaptive threshold encoding" OR "learnable threshold" OR "surrogate gradient")</v>
      </c>
      <c r="D3" s="14">
        <v>18</v>
      </c>
      <c r="E3" s="27">
        <v>45968</v>
      </c>
      <c r="F3" s="5" t="s">
        <v>155</v>
      </c>
      <c r="G3" s="5" t="s">
        <v>169</v>
      </c>
      <c r="H3" s="5" t="s">
        <v>106</v>
      </c>
    </row>
    <row r="4" spans="1:8" ht="214.5" customHeight="1" x14ac:dyDescent="0.3">
      <c r="A4" s="37" t="s">
        <v>154</v>
      </c>
      <c r="B4" s="35" t="s">
        <v>20</v>
      </c>
      <c r="C4" s="5" t="str">
        <f>_xlfn.XLOOKUP("Q1",queries!A2, queries!D2)</f>
        <v>("Spiking neural network*" OR "SNN" OR "neuromorphic network*" OR "deep spiking network*" OR "pulsed neural network*" OR "event-driven neural network" OR "event-based spiking network") AND ("Hybrid ANN-SNN" OR "ANN-SNN conversion" OR "hybrid neural network*" OR "hybrid spiking network*" OR "artificial and spiking neural network*") AND ( "Learnable encoding" OR "Adaptive encoding" OR "learnable spike encoding" OR "adaptive spike encoding" OR "trainable encoder" OR "differentiable encoding" OR "plastic encoding" OR "adaptive threshold encoding" OR "learnable threshold" OR "surrogate gradient")</v>
      </c>
      <c r="D4" s="14">
        <v>25</v>
      </c>
      <c r="E4" s="27">
        <v>45967</v>
      </c>
      <c r="F4" s="5" t="s">
        <v>201</v>
      </c>
      <c r="G4" s="5" t="s">
        <v>169</v>
      </c>
      <c r="H4" s="5" t="s">
        <v>109</v>
      </c>
    </row>
    <row r="5" spans="1:8" ht="193" customHeight="1" x14ac:dyDescent="0.3">
      <c r="A5" s="37" t="s">
        <v>38</v>
      </c>
      <c r="B5" s="35" t="s">
        <v>20</v>
      </c>
      <c r="C5" s="5" t="s">
        <v>205</v>
      </c>
      <c r="D5" s="14">
        <v>2</v>
      </c>
      <c r="E5" s="27">
        <v>45967</v>
      </c>
      <c r="F5" s="5" t="s">
        <v>209</v>
      </c>
      <c r="G5" s="5" t="s">
        <v>169</v>
      </c>
      <c r="H5" s="5" t="s">
        <v>108</v>
      </c>
    </row>
    <row r="6" spans="1:8" ht="154" x14ac:dyDescent="0.3">
      <c r="A6" s="37" t="s">
        <v>41</v>
      </c>
      <c r="B6" s="35" t="s">
        <v>20</v>
      </c>
      <c r="C6" s="5" t="str">
        <f>_xlfn.XLOOKUP("Q1",queries!A2, queries!D2)</f>
        <v>("Spiking neural network*" OR "SNN" OR "neuromorphic network*" OR "deep spiking network*" OR "pulsed neural network*" OR "event-driven neural network" OR "event-based spiking network") AND ("Hybrid ANN-SNN" OR "ANN-SNN conversion" OR "hybrid neural network*" OR "hybrid spiking network*" OR "artificial and spiking neural network*") AND ( "Learnable encoding" OR "Adaptive encoding" OR "learnable spike encoding" OR "adaptive spike encoding" OR "trainable encoder" OR "differentiable encoding" OR "plastic encoding" OR "adaptive threshold encoding" OR "learnable threshold" OR "surrogate gradient")</v>
      </c>
      <c r="D6" s="14">
        <v>11</v>
      </c>
      <c r="E6" s="27">
        <v>45967</v>
      </c>
      <c r="F6" s="5" t="s">
        <v>157</v>
      </c>
      <c r="G6" s="5" t="s">
        <v>169</v>
      </c>
      <c r="H6" s="5" t="s">
        <v>110</v>
      </c>
    </row>
    <row r="7" spans="1:8" ht="154" x14ac:dyDescent="0.3">
      <c r="A7" s="37" t="s">
        <v>44</v>
      </c>
      <c r="B7" s="35" t="s">
        <v>20</v>
      </c>
      <c r="C7" s="5" t="str">
        <f>_xlfn.XLOOKUP("Q1",queries!A2, queries!D2)</f>
        <v>("Spiking neural network*" OR "SNN" OR "neuromorphic network*" OR "deep spiking network*" OR "pulsed neural network*" OR "event-driven neural network" OR "event-based spiking network") AND ("Hybrid ANN-SNN" OR "ANN-SNN conversion" OR "hybrid neural network*" OR "hybrid spiking network*" OR "artificial and spiking neural network*") AND ( "Learnable encoding" OR "Adaptive encoding" OR "learnable spike encoding" OR "adaptive spike encoding" OR "trainable encoder" OR "differentiable encoding" OR "plastic encoding" OR "adaptive threshold encoding" OR "learnable threshold" OR "surrogate gradient")</v>
      </c>
      <c r="D7" s="14">
        <v>5</v>
      </c>
      <c r="E7" s="27">
        <v>45967</v>
      </c>
      <c r="F7" s="5" t="s">
        <v>156</v>
      </c>
      <c r="G7" s="5" t="s">
        <v>169</v>
      </c>
      <c r="H7" s="5" t="s">
        <v>106</v>
      </c>
    </row>
    <row r="8" spans="1:8" ht="364" x14ac:dyDescent="0.3">
      <c r="A8" s="37" t="s">
        <v>29</v>
      </c>
      <c r="B8" s="26" t="s">
        <v>21</v>
      </c>
      <c r="C8" s="5" t="s">
        <v>158</v>
      </c>
      <c r="D8" s="14">
        <v>18</v>
      </c>
      <c r="E8" s="27">
        <v>45967</v>
      </c>
      <c r="F8" s="5" t="s">
        <v>153</v>
      </c>
      <c r="G8" s="5" t="s">
        <v>170</v>
      </c>
      <c r="H8" s="5" t="s">
        <v>115</v>
      </c>
    </row>
    <row r="9" spans="1:8" ht="168" x14ac:dyDescent="0.3">
      <c r="A9" s="37" t="s">
        <v>32</v>
      </c>
      <c r="B9" s="26" t="s">
        <v>21</v>
      </c>
      <c r="C9" s="5" t="str">
        <f>_xlfn.XLOOKUP("Q2",queries!A3, queries!D3)</f>
        <v>( "Learnable encoding" OR "Adaptive encoding" OR "learnable spike encoding" OR "adaptive spike encoding" OR "trainable encoder" OR "differentiable encoding" OR "plastic encoding" OR "adaptive threshold encoding" OR "learnable threshold" OR "surrogate gradient") AND ("event-based dataset*" OR "DVS Gesture" OR "N-MNIST" OR "SHD" OR "Spiking Heidelberg Digits" OR "CIFAR-10-DVS" OR "neuromorphic benchmark") AND ("TTFS" OR "time-to-first-spike" OR "static" OR "hand-crafted" OR "conventional" OR "rule-based" OR "traditional encoding" OR "rate" OR "temporal encoding" OR "population encoding" OR "direct encoding" OR "latency" OR "fixed threshold" OR "non-adaptive" OR "Poisson")</v>
      </c>
      <c r="D9" s="14">
        <v>17</v>
      </c>
      <c r="E9" s="27">
        <v>45967</v>
      </c>
      <c r="F9" s="5" t="s">
        <v>159</v>
      </c>
      <c r="G9" s="5" t="s">
        <v>170</v>
      </c>
      <c r="H9" s="5" t="s">
        <v>184</v>
      </c>
    </row>
    <row r="10" spans="1:8" ht="224" x14ac:dyDescent="0.3">
      <c r="A10" s="37" t="s">
        <v>35</v>
      </c>
      <c r="B10" s="26" t="s">
        <v>21</v>
      </c>
      <c r="C10" s="5" t="s">
        <v>165</v>
      </c>
      <c r="D10" s="14">
        <v>4</v>
      </c>
      <c r="E10" s="27">
        <v>45967</v>
      </c>
      <c r="F10" s="5" t="s">
        <v>160</v>
      </c>
      <c r="G10" s="5" t="s">
        <v>170</v>
      </c>
      <c r="H10" s="5" t="s">
        <v>116</v>
      </c>
    </row>
    <row r="11" spans="1:8" ht="143.5" customHeight="1" x14ac:dyDescent="0.3">
      <c r="A11" s="37" t="s">
        <v>38</v>
      </c>
      <c r="B11" s="26" t="s">
        <v>21</v>
      </c>
      <c r="C11" s="5" t="s">
        <v>162</v>
      </c>
      <c r="D11" s="14">
        <v>2</v>
      </c>
      <c r="E11" s="27">
        <v>45967</v>
      </c>
      <c r="F11" s="4" t="s">
        <v>163</v>
      </c>
      <c r="G11" s="5" t="s">
        <v>170</v>
      </c>
      <c r="H11" s="5" t="s">
        <v>117</v>
      </c>
    </row>
    <row r="12" spans="1:8" ht="189.5" customHeight="1" x14ac:dyDescent="0.3">
      <c r="A12" s="37" t="s">
        <v>41</v>
      </c>
      <c r="B12" s="26" t="s">
        <v>21</v>
      </c>
      <c r="C12" s="5" t="str">
        <f>_xlfn.XLOOKUP("Q2",queries!A3, queries!D3)</f>
        <v>( "Learnable encoding" OR "Adaptive encoding" OR "learnable spike encoding" OR "adaptive spike encoding" OR "trainable encoder" OR "differentiable encoding" OR "plastic encoding" OR "adaptive threshold encoding" OR "learnable threshold" OR "surrogate gradient") AND ("event-based dataset*" OR "DVS Gesture" OR "N-MNIST" OR "SHD" OR "Spiking Heidelberg Digits" OR "CIFAR-10-DVS" OR "neuromorphic benchmark") AND ("TTFS" OR "time-to-first-spike" OR "static" OR "hand-crafted" OR "conventional" OR "rule-based" OR "traditional encoding" OR "rate" OR "temporal encoding" OR "population encoding" OR "direct encoding" OR "latency" OR "fixed threshold" OR "non-adaptive" OR "Poisson")</v>
      </c>
      <c r="D12" s="14">
        <v>15</v>
      </c>
      <c r="E12" s="27">
        <v>45967</v>
      </c>
      <c r="F12" s="5" t="s">
        <v>161</v>
      </c>
      <c r="G12" s="5" t="s">
        <v>170</v>
      </c>
      <c r="H12" s="5" t="s">
        <v>118</v>
      </c>
    </row>
    <row r="13" spans="1:8" ht="182.5" customHeight="1" x14ac:dyDescent="0.3">
      <c r="A13" s="37" t="s">
        <v>44</v>
      </c>
      <c r="B13" s="26" t="s">
        <v>21</v>
      </c>
      <c r="C13" s="5" t="str">
        <f>_xlfn.XLOOKUP("Q2",queries!A3, queries!D3)</f>
        <v>( "Learnable encoding" OR "Adaptive encoding" OR "learnable spike encoding" OR "adaptive spike encoding" OR "trainable encoder" OR "differentiable encoding" OR "plastic encoding" OR "adaptive threshold encoding" OR "learnable threshold" OR "surrogate gradient") AND ("event-based dataset*" OR "DVS Gesture" OR "N-MNIST" OR "SHD" OR "Spiking Heidelberg Digits" OR "CIFAR-10-DVS" OR "neuromorphic benchmark") AND ("TTFS" OR "time-to-first-spike" OR "static" OR "hand-crafted" OR "conventional" OR "rule-based" OR "traditional encoding" OR "rate" OR "temporal encoding" OR "population encoding" OR "direct encoding" OR "latency" OR "fixed threshold" OR "non-adaptive" OR "Poisson")</v>
      </c>
      <c r="D13" s="14">
        <v>5</v>
      </c>
      <c r="E13" s="27">
        <v>45967</v>
      </c>
      <c r="F13" s="5" t="s">
        <v>156</v>
      </c>
      <c r="G13" s="5" t="s">
        <v>170</v>
      </c>
      <c r="H13" s="5" t="s">
        <v>119</v>
      </c>
    </row>
    <row r="14" spans="1:8" ht="324.5" customHeight="1" x14ac:dyDescent="0.3">
      <c r="A14" s="37" t="s">
        <v>29</v>
      </c>
      <c r="B14" s="35" t="s">
        <v>22</v>
      </c>
      <c r="C14" s="5" t="s">
        <v>164</v>
      </c>
      <c r="D14" s="14">
        <v>15</v>
      </c>
      <c r="E14" s="27">
        <v>45967</v>
      </c>
      <c r="F14" s="5" t="s">
        <v>153</v>
      </c>
      <c r="G14" s="5" t="s">
        <v>171</v>
      </c>
      <c r="H14" s="5" t="s">
        <v>121</v>
      </c>
    </row>
    <row r="15" spans="1:8" ht="224" customHeight="1" x14ac:dyDescent="0.3">
      <c r="A15" s="37" t="s">
        <v>32</v>
      </c>
      <c r="B15" s="35" t="s">
        <v>22</v>
      </c>
      <c r="C15" s="5" t="str">
        <f>_xlfn.XLOOKUP("Q3",queries!A4, queries!D4)</f>
        <v>("event-based dataset*" OR "DVS Gesture" OR "N-MNIST" OR "SHD" OR "Spiking Heidelberg Digits" OR "CIFAR-10-DVS" OR "neuromorphic benchmark") AND ("software simulation" OR "neuromorphic hardware" OR "Loihi" OR "SpiNNaker" OR "TrueNorth" OR "BindsNET" OR "snnTorch" OR "neuromorphic simulator") AND ( "Learnable encoding" OR "Adaptive encoding" OR "learnable spike encoding" OR "adaptive spike encoding" OR "trainable encoder" OR "differentiable encoding" OR "plastic encoding" OR "adaptive threshold encoding" OR "learnable threshold" OR "surrogate gradient")</v>
      </c>
      <c r="D15" s="14">
        <v>22</v>
      </c>
      <c r="E15" s="27">
        <v>45967</v>
      </c>
      <c r="F15" s="5" t="s">
        <v>153</v>
      </c>
      <c r="G15" s="5" t="s">
        <v>171</v>
      </c>
      <c r="H15" s="5" t="s">
        <v>120</v>
      </c>
    </row>
    <row r="16" spans="1:8" ht="226" customHeight="1" x14ac:dyDescent="0.3">
      <c r="A16" s="37" t="s">
        <v>35</v>
      </c>
      <c r="B16" s="35" t="s">
        <v>22</v>
      </c>
      <c r="C16" s="5" t="s">
        <v>166</v>
      </c>
      <c r="D16" s="14">
        <v>3</v>
      </c>
      <c r="E16" s="27">
        <v>45967</v>
      </c>
      <c r="F16" s="5" t="s">
        <v>160</v>
      </c>
      <c r="G16" s="5" t="s">
        <v>171</v>
      </c>
      <c r="H16" s="5" t="s">
        <v>122</v>
      </c>
    </row>
    <row r="17" spans="1:8" ht="159" customHeight="1" x14ac:dyDescent="0.3">
      <c r="A17" s="37" t="s">
        <v>38</v>
      </c>
      <c r="B17" s="35" t="s">
        <v>22</v>
      </c>
      <c r="C17" s="5" t="s">
        <v>167</v>
      </c>
      <c r="D17" s="14">
        <v>11</v>
      </c>
      <c r="E17" s="27">
        <v>45967</v>
      </c>
      <c r="F17" s="5" t="s">
        <v>168</v>
      </c>
      <c r="G17" s="5" t="s">
        <v>171</v>
      </c>
      <c r="H17" s="5" t="s">
        <v>123</v>
      </c>
    </row>
    <row r="18" spans="1:8" ht="167.5" customHeight="1" x14ac:dyDescent="0.3">
      <c r="A18" s="37" t="s">
        <v>41</v>
      </c>
      <c r="B18" s="35" t="s">
        <v>22</v>
      </c>
      <c r="C18" s="5" t="str">
        <f>_xlfn.XLOOKUP("Q3",queries!A4, queries!D4)</f>
        <v>("event-based dataset*" OR "DVS Gesture" OR "N-MNIST" OR "SHD" OR "Spiking Heidelberg Digits" OR "CIFAR-10-DVS" OR "neuromorphic benchmark") AND ("software simulation" OR "neuromorphic hardware" OR "Loihi" OR "SpiNNaker" OR "TrueNorth" OR "BindsNET" OR "snnTorch" OR "neuromorphic simulator") AND ( "Learnable encoding" OR "Adaptive encoding" OR "learnable spike encoding" OR "adaptive spike encoding" OR "trainable encoder" OR "differentiable encoding" OR "plastic encoding" OR "adaptive threshold encoding" OR "learnable threshold" OR "surrogate gradient")</v>
      </c>
      <c r="D18" s="14">
        <v>12</v>
      </c>
      <c r="E18" s="27">
        <v>45967</v>
      </c>
      <c r="F18" s="5" t="s">
        <v>161</v>
      </c>
      <c r="G18" s="5" t="s">
        <v>171</v>
      </c>
      <c r="H18" s="5" t="s">
        <v>124</v>
      </c>
    </row>
    <row r="19" spans="1:8" ht="161" customHeight="1" x14ac:dyDescent="0.3">
      <c r="A19" s="37" t="s">
        <v>44</v>
      </c>
      <c r="B19" s="35" t="s">
        <v>22</v>
      </c>
      <c r="C19" s="5" t="str">
        <f>_xlfn.XLOOKUP("Q3",queries!A4, queries!D4)</f>
        <v>("event-based dataset*" OR "DVS Gesture" OR "N-MNIST" OR "SHD" OR "Spiking Heidelberg Digits" OR "CIFAR-10-DVS" OR "neuromorphic benchmark") AND ("software simulation" OR "neuromorphic hardware" OR "Loihi" OR "SpiNNaker" OR "TrueNorth" OR "BindsNET" OR "snnTorch" OR "neuromorphic simulator") AND ( "Learnable encoding" OR "Adaptive encoding" OR "learnable spike encoding" OR "adaptive spike encoding" OR "trainable encoder" OR "differentiable encoding" OR "plastic encoding" OR "adaptive threshold encoding" OR "learnable threshold" OR "surrogate gradient")</v>
      </c>
      <c r="D19" s="14">
        <v>2</v>
      </c>
      <c r="E19" s="27">
        <v>45967</v>
      </c>
      <c r="F19" s="5" t="s">
        <v>156</v>
      </c>
      <c r="G19" s="5" t="s">
        <v>171</v>
      </c>
      <c r="H19" s="5" t="s">
        <v>125</v>
      </c>
    </row>
    <row r="20" spans="1:8" ht="275.5" customHeight="1" x14ac:dyDescent="0.3">
      <c r="A20" s="37" t="s">
        <v>29</v>
      </c>
      <c r="B20" s="26" t="s">
        <v>23</v>
      </c>
      <c r="C20" s="5" t="s">
        <v>175</v>
      </c>
      <c r="D20" s="14">
        <v>2</v>
      </c>
      <c r="E20" s="27">
        <v>45967</v>
      </c>
      <c r="F20" s="5" t="s">
        <v>176</v>
      </c>
      <c r="G20" s="5" t="s">
        <v>172</v>
      </c>
      <c r="H20" s="5" t="s">
        <v>127</v>
      </c>
    </row>
    <row r="21" spans="1:8" ht="205" customHeight="1" x14ac:dyDescent="0.3">
      <c r="A21" s="37" t="s">
        <v>32</v>
      </c>
      <c r="B21" s="26" t="s">
        <v>23</v>
      </c>
      <c r="C21" s="5" t="str">
        <f>_xlfn.XLOOKUP("Q4",queries!A5, queries!D5)</f>
        <v>( "Learnable encoding" OR "Adaptive encoding" OR "learnable spike encoding" OR "adaptive spike encoding" OR "trainable encoder" OR "differentiable encoding" OR "plastic encoding" OR "adaptive threshold encoding" OR "learnable threshold" OR "surrogate gradient") AND ("Spiking neural network*" OR "SNN" OR "neuromorphic network*" OR "deep spiking network*" OR "pulsed neural network*" OR "event-driven neural network" OR "event-based spiking network") AND ("software simulation" OR "neuromorphic hardware" OR "Loihi" OR "SpiNNaker" OR "TrueNorth" OR "BindsNET" OR "snnTorch" OR "neuromorphic simulator")</v>
      </c>
      <c r="D21" s="14">
        <v>16</v>
      </c>
      <c r="E21" s="27">
        <v>45967</v>
      </c>
      <c r="F21" s="5" t="s">
        <v>177</v>
      </c>
      <c r="G21" s="5" t="s">
        <v>172</v>
      </c>
      <c r="H21" s="5" t="s">
        <v>126</v>
      </c>
    </row>
    <row r="22" spans="1:8" ht="300" customHeight="1" x14ac:dyDescent="0.3">
      <c r="A22" s="37" t="s">
        <v>35</v>
      </c>
      <c r="B22" s="26" t="s">
        <v>23</v>
      </c>
      <c r="C22" s="5" t="s">
        <v>180</v>
      </c>
      <c r="D22" s="14">
        <v>22</v>
      </c>
      <c r="E22" s="27">
        <v>45967</v>
      </c>
      <c r="F22" s="5" t="s">
        <v>178</v>
      </c>
      <c r="G22" s="5" t="s">
        <v>172</v>
      </c>
      <c r="H22" s="5" t="s">
        <v>128</v>
      </c>
    </row>
    <row r="23" spans="1:8" ht="225.5" customHeight="1" x14ac:dyDescent="0.3">
      <c r="A23" s="37" t="s">
        <v>38</v>
      </c>
      <c r="B23" s="26" t="s">
        <v>23</v>
      </c>
      <c r="C23" s="5" t="s">
        <v>179</v>
      </c>
      <c r="D23" s="38">
        <v>3</v>
      </c>
      <c r="E23" s="27">
        <v>45967</v>
      </c>
      <c r="F23" s="5" t="s">
        <v>192</v>
      </c>
      <c r="G23" s="5" t="s">
        <v>172</v>
      </c>
      <c r="H23" s="5" t="s">
        <v>129</v>
      </c>
    </row>
    <row r="24" spans="1:8" ht="180" customHeight="1" x14ac:dyDescent="0.3">
      <c r="A24" s="37" t="s">
        <v>41</v>
      </c>
      <c r="B24" s="26" t="s">
        <v>23</v>
      </c>
      <c r="C24" s="5" t="str">
        <f>_xlfn.XLOOKUP("Q4",queries!A5, queries!D5)</f>
        <v>( "Learnable encoding" OR "Adaptive encoding" OR "learnable spike encoding" OR "adaptive spike encoding" OR "trainable encoder" OR "differentiable encoding" OR "plastic encoding" OR "adaptive threshold encoding" OR "learnable threshold" OR "surrogate gradient") AND ("Spiking neural network*" OR "SNN" OR "neuromorphic network*" OR "deep spiking network*" OR "pulsed neural network*" OR "event-driven neural network" OR "event-based spiking network") AND ("software simulation" OR "neuromorphic hardware" OR "Loihi" OR "SpiNNaker" OR "TrueNorth" OR "BindsNET" OR "snnTorch" OR "neuromorphic simulator")</v>
      </c>
      <c r="D24" s="14">
        <v>36</v>
      </c>
      <c r="E24" s="27">
        <v>45967</v>
      </c>
      <c r="F24" s="5" t="s">
        <v>182</v>
      </c>
      <c r="G24" s="5" t="s">
        <v>172</v>
      </c>
      <c r="H24" s="5" t="s">
        <v>130</v>
      </c>
    </row>
    <row r="25" spans="1:8" ht="188.5" customHeight="1" x14ac:dyDescent="0.3">
      <c r="A25" s="37" t="s">
        <v>44</v>
      </c>
      <c r="B25" s="26" t="s">
        <v>23</v>
      </c>
      <c r="C25" s="5" t="str">
        <f>_xlfn.XLOOKUP("Q4",queries!A5, queries!D5)</f>
        <v>( "Learnable encoding" OR "Adaptive encoding" OR "learnable spike encoding" OR "adaptive spike encoding" OR "trainable encoder" OR "differentiable encoding" OR "plastic encoding" OR "adaptive threshold encoding" OR "learnable threshold" OR "surrogate gradient") AND ("Spiking neural network*" OR "SNN" OR "neuromorphic network*" OR "deep spiking network*" OR "pulsed neural network*" OR "event-driven neural network" OR "event-based spiking network") AND ("software simulation" OR "neuromorphic hardware" OR "Loihi" OR "SpiNNaker" OR "TrueNorth" OR "BindsNET" OR "snnTorch" OR "neuromorphic simulator")</v>
      </c>
      <c r="D25" s="14">
        <v>26</v>
      </c>
      <c r="E25" s="27">
        <v>45967</v>
      </c>
      <c r="F25" s="5" t="s">
        <v>181</v>
      </c>
      <c r="G25" s="5" t="s">
        <v>172</v>
      </c>
      <c r="H25" s="5" t="s">
        <v>131</v>
      </c>
    </row>
    <row r="26" spans="1:8" ht="407" customHeight="1" x14ac:dyDescent="0.3">
      <c r="A26" s="37" t="s">
        <v>29</v>
      </c>
      <c r="B26" s="35" t="s">
        <v>24</v>
      </c>
      <c r="C26" s="5" t="s">
        <v>183</v>
      </c>
      <c r="D26" s="14">
        <v>0</v>
      </c>
      <c r="E26" s="27">
        <v>45967</v>
      </c>
      <c r="F26" s="5" t="s">
        <v>185</v>
      </c>
      <c r="G26" s="5" t="s">
        <v>173</v>
      </c>
      <c r="H26" s="5" t="s">
        <v>133</v>
      </c>
    </row>
    <row r="27" spans="1:8" ht="237" customHeight="1" x14ac:dyDescent="0.3">
      <c r="A27" s="37" t="s">
        <v>32</v>
      </c>
      <c r="B27" s="35" t="s">
        <v>24</v>
      </c>
      <c r="C27" s="5" t="str">
        <f>_xlfn.XLOOKUP("Q5",queries!A6, queries!D6)</f>
        <v>("Spiking neural network*" OR "SNN" OR "neuromorphic network*" OR "deep spiking network*" OR "pulsed neural network*" OR "event-driven neural network" OR "event-based spiking network") AND ("Hybrid ANN-SNN" OR "ANN-SNN conversion" OR "hybrid neural network*" OR "hybrid spiking network*" OR "artificial and spiking neural network*") AND ("event-based dataset*" OR "DVS Gesture" OR "N-MNIST" OR "SHD" OR "Spiking Heidelberg Digits" OR "CIFAR-10-DVS" OR "neuromorphic benchmark") AND ("TTFS" OR "time-to-first-spike" OR "static" OR "hand-crafted" OR "conventional" OR "rule-based" OR "traditional encoding" OR "rate" OR "temporal encoding" OR "population encoding" OR "direct encoding" OR "latency" OR "fixed threshold" OR "non-adaptive" OR "Poisson")</v>
      </c>
      <c r="D27" s="14">
        <v>11</v>
      </c>
      <c r="E27" s="27">
        <v>45967</v>
      </c>
      <c r="F27" s="5" t="s">
        <v>186</v>
      </c>
      <c r="G27" s="5" t="s">
        <v>173</v>
      </c>
      <c r="H27" s="5" t="s">
        <v>132</v>
      </c>
    </row>
    <row r="28" spans="1:8" ht="219" customHeight="1" x14ac:dyDescent="0.3">
      <c r="A28" s="37" t="s">
        <v>35</v>
      </c>
      <c r="B28" s="35" t="s">
        <v>24</v>
      </c>
      <c r="C28" s="5" t="str">
        <f>_xlfn.XLOOKUP("Q5",queries!A6, queries!D6)</f>
        <v>("Spiking neural network*" OR "SNN" OR "neuromorphic network*" OR "deep spiking network*" OR "pulsed neural network*" OR "event-driven neural network" OR "event-based spiking network") AND ("Hybrid ANN-SNN" OR "ANN-SNN conversion" OR "hybrid neural network*" OR "hybrid spiking network*" OR "artificial and spiking neural network*") AND ("event-based dataset*" OR "DVS Gesture" OR "N-MNIST" OR "SHD" OR "Spiking Heidelberg Digits" OR "CIFAR-10-DVS" OR "neuromorphic benchmark") AND ("TTFS" OR "time-to-first-spike" OR "static" OR "hand-crafted" OR "conventional" OR "rule-based" OR "traditional encoding" OR "rate" OR "temporal encoding" OR "population encoding" OR "direct encoding" OR "latency" OR "fixed threshold" OR "non-adaptive" OR "Poisson")</v>
      </c>
      <c r="D28" s="14">
        <v>22</v>
      </c>
      <c r="E28" s="27">
        <v>45967</v>
      </c>
      <c r="F28" s="5" t="s">
        <v>187</v>
      </c>
      <c r="G28" s="5" t="s">
        <v>173</v>
      </c>
      <c r="H28" s="5" t="s">
        <v>134</v>
      </c>
    </row>
    <row r="29" spans="1:8" ht="208.5" customHeight="1" x14ac:dyDescent="0.3">
      <c r="A29" s="37" t="s">
        <v>38</v>
      </c>
      <c r="B29" s="35" t="s">
        <v>24</v>
      </c>
      <c r="C29" s="5" t="s">
        <v>188</v>
      </c>
      <c r="D29" s="14">
        <v>1</v>
      </c>
      <c r="E29" s="27">
        <v>45967</v>
      </c>
      <c r="F29" s="5" t="s">
        <v>190</v>
      </c>
      <c r="G29" s="5" t="s">
        <v>173</v>
      </c>
      <c r="H29" s="5" t="s">
        <v>135</v>
      </c>
    </row>
    <row r="30" spans="1:8" ht="231.5" customHeight="1" x14ac:dyDescent="0.3">
      <c r="A30" s="37" t="s">
        <v>41</v>
      </c>
      <c r="B30" s="35" t="s">
        <v>24</v>
      </c>
      <c r="C30" s="5" t="str">
        <f>_xlfn.XLOOKUP("Q5",queries!A6, queries!D6)</f>
        <v>("Spiking neural network*" OR "SNN" OR "neuromorphic network*" OR "deep spiking network*" OR "pulsed neural network*" OR "event-driven neural network" OR "event-based spiking network") AND ("Hybrid ANN-SNN" OR "ANN-SNN conversion" OR "hybrid neural network*" OR "hybrid spiking network*" OR "artificial and spiking neural network*") AND ("event-based dataset*" OR "DVS Gesture" OR "N-MNIST" OR "SHD" OR "Spiking Heidelberg Digits" OR "CIFAR-10-DVS" OR "neuromorphic benchmark") AND ("TTFS" OR "time-to-first-spike" OR "static" OR "hand-crafted" OR "conventional" OR "rule-based" OR "traditional encoding" OR "rate" OR "temporal encoding" OR "population encoding" OR "direct encoding" OR "latency" OR "fixed threshold" OR "non-adaptive" OR "Poisson")</v>
      </c>
      <c r="D30" s="14">
        <v>6</v>
      </c>
      <c r="E30" s="27">
        <v>45967</v>
      </c>
      <c r="F30" s="5" t="s">
        <v>189</v>
      </c>
      <c r="G30" s="5" t="s">
        <v>173</v>
      </c>
      <c r="H30" s="5" t="s">
        <v>136</v>
      </c>
    </row>
    <row r="31" spans="1:8" ht="195.5" customHeight="1" x14ac:dyDescent="0.3">
      <c r="A31" s="37" t="s">
        <v>44</v>
      </c>
      <c r="B31" s="35" t="s">
        <v>24</v>
      </c>
      <c r="C31" s="5" t="str">
        <f>_xlfn.XLOOKUP("Q5",queries!A6, queries!D6)</f>
        <v>("Spiking neural network*" OR "SNN" OR "neuromorphic network*" OR "deep spiking network*" OR "pulsed neural network*" OR "event-driven neural network" OR "event-based spiking network") AND ("Hybrid ANN-SNN" OR "ANN-SNN conversion" OR "hybrid neural network*" OR "hybrid spiking network*" OR "artificial and spiking neural network*") AND ("event-based dataset*" OR "DVS Gesture" OR "N-MNIST" OR "SHD" OR "Spiking Heidelberg Digits" OR "CIFAR-10-DVS" OR "neuromorphic benchmark") AND ("TTFS" OR "time-to-first-spike" OR "static" OR "hand-crafted" OR "conventional" OR "rule-based" OR "traditional encoding" OR "rate" OR "temporal encoding" OR "population encoding" OR "direct encoding" OR "latency" OR "fixed threshold" OR "non-adaptive" OR "Poisson")</v>
      </c>
      <c r="D31" s="14">
        <v>2</v>
      </c>
      <c r="E31" s="27">
        <v>45967</v>
      </c>
      <c r="F31" s="5" t="s">
        <v>156</v>
      </c>
      <c r="G31" s="5" t="s">
        <v>173</v>
      </c>
      <c r="H31" s="5" t="s">
        <v>137</v>
      </c>
    </row>
    <row r="32" spans="1:8" ht="141" customHeight="1" x14ac:dyDescent="0.3">
      <c r="A32" s="37" t="s">
        <v>29</v>
      </c>
      <c r="B32" s="26" t="s">
        <v>111</v>
      </c>
      <c r="C32" s="5" t="str">
        <f>_xlfn.XLOOKUP("Q6",queries!A7, queries!D7)</f>
        <v>("Spiking neural network*" OR "SNN" OR "neuromorphic network*" OR "deep spiking network*" OR "pulsed neural network*" OR "event-driven neural network" OR "event-based spiking network") AND ("Hybrid ANN-SNN" OR "ANN-SNN conversion" OR "hybrid neural network*" OR "hybrid spiking network*" OR "artificial and spiking neural network*") AND ("software simulation" OR "neuromorphic hardware" OR "Loihi" OR "SpiNNaker" OR "TrueNorth" OR "BindsNET" OR "snnTorch" OR "neuromorphic simulator")</v>
      </c>
      <c r="D32" s="14">
        <v>0</v>
      </c>
      <c r="E32" s="27">
        <v>45967</v>
      </c>
      <c r="F32" s="5" t="s">
        <v>208</v>
      </c>
      <c r="G32" s="5" t="s">
        <v>174</v>
      </c>
      <c r="H32" s="5" t="s">
        <v>139</v>
      </c>
    </row>
    <row r="33" spans="1:8" ht="149" customHeight="1" x14ac:dyDescent="0.3">
      <c r="A33" s="37" t="s">
        <v>32</v>
      </c>
      <c r="B33" s="26" t="s">
        <v>111</v>
      </c>
      <c r="C33" s="5" t="str">
        <f>_xlfn.XLOOKUP("Q6",queries!A7, queries!D7)</f>
        <v>("Spiking neural network*" OR "SNN" OR "neuromorphic network*" OR "deep spiking network*" OR "pulsed neural network*" OR "event-driven neural network" OR "event-based spiking network") AND ("Hybrid ANN-SNN" OR "ANN-SNN conversion" OR "hybrid neural network*" OR "hybrid spiking network*" OR "artificial and spiking neural network*") AND ("software simulation" OR "neuromorphic hardware" OR "Loihi" OR "SpiNNaker" OR "TrueNorth" OR "BindsNET" OR "snnTorch" OR "neuromorphic simulator")</v>
      </c>
      <c r="D33" s="14">
        <v>30</v>
      </c>
      <c r="E33" s="27">
        <v>45967</v>
      </c>
      <c r="F33" s="39" t="s">
        <v>194</v>
      </c>
      <c r="G33" s="5" t="s">
        <v>174</v>
      </c>
      <c r="H33" s="5" t="s">
        <v>138</v>
      </c>
    </row>
    <row r="34" spans="1:8" ht="146" customHeight="1" x14ac:dyDescent="0.3">
      <c r="A34" s="37" t="s">
        <v>35</v>
      </c>
      <c r="B34" s="26" t="s">
        <v>111</v>
      </c>
      <c r="C34" s="5" t="str">
        <f>_xlfn.XLOOKUP("Q6",queries!A7, queries!D7)</f>
        <v>("Spiking neural network*" OR "SNN" OR "neuromorphic network*" OR "deep spiking network*" OR "pulsed neural network*" OR "event-driven neural network" OR "event-based spiking network") AND ("Hybrid ANN-SNN" OR "ANN-SNN conversion" OR "hybrid neural network*" OR "hybrid spiking network*" OR "artificial and spiking neural network*") AND ("software simulation" OR "neuromorphic hardware" OR "Loihi" OR "SpiNNaker" OR "TrueNorth" OR "BindsNET" OR "snnTorch" OR "neuromorphic simulator")</v>
      </c>
      <c r="D34" s="14">
        <v>7</v>
      </c>
      <c r="E34" s="27">
        <v>45967</v>
      </c>
      <c r="F34" s="5" t="s">
        <v>191</v>
      </c>
      <c r="G34" s="5" t="s">
        <v>174</v>
      </c>
      <c r="H34" s="5" t="s">
        <v>140</v>
      </c>
    </row>
    <row r="35" spans="1:8" ht="217" customHeight="1" x14ac:dyDescent="0.3">
      <c r="A35" s="37" t="s">
        <v>38</v>
      </c>
      <c r="B35" s="26" t="s">
        <v>111</v>
      </c>
      <c r="C35" s="5" t="s">
        <v>196</v>
      </c>
      <c r="D35" s="14">
        <v>1</v>
      </c>
      <c r="E35" s="27">
        <v>45967</v>
      </c>
      <c r="F35" s="5" t="s">
        <v>195</v>
      </c>
      <c r="G35" s="5" t="s">
        <v>174</v>
      </c>
      <c r="H35" s="5" t="s">
        <v>141</v>
      </c>
    </row>
    <row r="36" spans="1:8" ht="139.5" customHeight="1" x14ac:dyDescent="0.3">
      <c r="A36" s="37" t="s">
        <v>41</v>
      </c>
      <c r="B36" s="26" t="s">
        <v>111</v>
      </c>
      <c r="C36" s="5" t="str">
        <f>_xlfn.XLOOKUP("Q6",queries!A7, queries!D7)</f>
        <v>("Spiking neural network*" OR "SNN" OR "neuromorphic network*" OR "deep spiking network*" OR "pulsed neural network*" OR "event-driven neural network" OR "event-based spiking network") AND ("Hybrid ANN-SNN" OR "ANN-SNN conversion" OR "hybrid neural network*" OR "hybrid spiking network*" OR "artificial and spiking neural network*") AND ("software simulation" OR "neuromorphic hardware" OR "Loihi" OR "SpiNNaker" OR "TrueNorth" OR "BindsNET" OR "snnTorch" OR "neuromorphic simulator")</v>
      </c>
      <c r="D36" s="14">
        <v>13</v>
      </c>
      <c r="E36" s="27">
        <v>45967</v>
      </c>
      <c r="F36" s="5" t="s">
        <v>193</v>
      </c>
      <c r="G36" s="5" t="s">
        <v>174</v>
      </c>
      <c r="H36" s="5" t="s">
        <v>142</v>
      </c>
    </row>
    <row r="37" spans="1:8" ht="135.5" customHeight="1" x14ac:dyDescent="0.3">
      <c r="A37" s="37" t="s">
        <v>44</v>
      </c>
      <c r="B37" s="26" t="s">
        <v>111</v>
      </c>
      <c r="C37" s="5" t="str">
        <f>_xlfn.XLOOKUP("Q6",queries!A7, queries!D7)</f>
        <v>("Spiking neural network*" OR "SNN" OR "neuromorphic network*" OR "deep spiking network*" OR "pulsed neural network*" OR "event-driven neural network" OR "event-based spiking network") AND ("Hybrid ANN-SNN" OR "ANN-SNN conversion" OR "hybrid neural network*" OR "hybrid spiking network*" OR "artificial and spiking neural network*") AND ("software simulation" OR "neuromorphic hardware" OR "Loihi" OR "SpiNNaker" OR "TrueNorth" OR "BindsNET" OR "snnTorch" OR "neuromorphic simulator")</v>
      </c>
      <c r="D37" s="28">
        <v>9</v>
      </c>
      <c r="E37" s="27">
        <v>45967</v>
      </c>
      <c r="F37" s="5" t="s">
        <v>181</v>
      </c>
      <c r="G37" s="5" t="s">
        <v>174</v>
      </c>
      <c r="H37" s="5" t="s">
        <v>143</v>
      </c>
    </row>
    <row r="38" spans="1:8" ht="135.5" customHeight="1" x14ac:dyDescent="0.3">
      <c r="A38" s="37" t="s">
        <v>29</v>
      </c>
      <c r="B38" s="35" t="s">
        <v>269</v>
      </c>
      <c r="C38" s="5" t="str">
        <f>_xlfn.XLOOKUP("Q7",queries!A8, queries!D8)</f>
        <v>("Spiking neural network*" OR "SNN" OR "neuromorphic network*" OR "deep spiking network*" OR "pulsed neural network*" OR "event-driven neural network" OR "event-based spiking network") AND ( "Learnable encoding" OR "Adaptive encoding" OR "learnable spike encoding" OR "adaptive spike encoding" OR "trainable encoder" OR "differentiable encoding" OR "plastic encoding" OR "adaptive threshold encoding" OR "learnable threshold" OR "surrogate gradient")</v>
      </c>
      <c r="D38" s="28">
        <v>7</v>
      </c>
      <c r="E38" s="27">
        <v>45980</v>
      </c>
      <c r="F38" s="5" t="s">
        <v>273</v>
      </c>
      <c r="G38" s="5" t="s">
        <v>271</v>
      </c>
      <c r="H38" s="5" t="s">
        <v>272</v>
      </c>
    </row>
    <row r="39" spans="1:8" ht="135.5" customHeight="1" x14ac:dyDescent="0.3">
      <c r="A39" s="37" t="s">
        <v>32</v>
      </c>
      <c r="B39" s="35" t="s">
        <v>269</v>
      </c>
      <c r="C39" s="5" t="str">
        <f>_xlfn.XLOOKUP("Q7",queries!A8, queries!D8)</f>
        <v>("Spiking neural network*" OR "SNN" OR "neuromorphic network*" OR "deep spiking network*" OR "pulsed neural network*" OR "event-driven neural network" OR "event-based spiking network") AND ( "Learnable encoding" OR "Adaptive encoding" OR "learnable spike encoding" OR "adaptive spike encoding" OR "trainable encoder" OR "differentiable encoding" OR "plastic encoding" OR "adaptive threshold encoding" OR "learnable threshold" OR "surrogate gradient")</v>
      </c>
      <c r="D39" s="28">
        <v>6</v>
      </c>
      <c r="E39" s="27">
        <v>45980</v>
      </c>
      <c r="F39" s="5" t="s">
        <v>274</v>
      </c>
      <c r="G39" s="5" t="s">
        <v>271</v>
      </c>
    </row>
    <row r="40" spans="1:8" ht="148" customHeight="1" x14ac:dyDescent="0.3">
      <c r="A40" s="37" t="s">
        <v>35</v>
      </c>
      <c r="B40" s="35" t="s">
        <v>269</v>
      </c>
      <c r="C40" s="5" t="s">
        <v>275</v>
      </c>
      <c r="D40" s="28">
        <v>3</v>
      </c>
      <c r="E40" s="27">
        <v>45980</v>
      </c>
      <c r="F40" s="5" t="s">
        <v>276</v>
      </c>
      <c r="G40" s="5" t="s">
        <v>271</v>
      </c>
    </row>
    <row r="41" spans="1:8" ht="135.5" customHeight="1" x14ac:dyDescent="0.3">
      <c r="A41" s="37" t="s">
        <v>38</v>
      </c>
      <c r="B41" s="35" t="s">
        <v>269</v>
      </c>
      <c r="C41" s="5" t="s">
        <v>278</v>
      </c>
      <c r="D41" s="28">
        <v>0</v>
      </c>
      <c r="E41" s="27">
        <v>45980</v>
      </c>
      <c r="F41" s="5" t="s">
        <v>279</v>
      </c>
      <c r="G41" s="5" t="s">
        <v>271</v>
      </c>
    </row>
    <row r="42" spans="1:8" ht="135.5" customHeight="1" x14ac:dyDescent="0.3">
      <c r="A42" s="37" t="s">
        <v>41</v>
      </c>
      <c r="B42" s="35" t="s">
        <v>269</v>
      </c>
      <c r="C42" s="5" t="s">
        <v>277</v>
      </c>
      <c r="D42" s="28">
        <v>2</v>
      </c>
      <c r="E42" s="27">
        <v>45980</v>
      </c>
      <c r="F42" s="5" t="s">
        <v>274</v>
      </c>
      <c r="G42" s="5" t="s">
        <v>271</v>
      </c>
    </row>
    <row r="43" spans="1:8" ht="135.5" customHeight="1" x14ac:dyDescent="0.3">
      <c r="A43" s="37" t="s">
        <v>44</v>
      </c>
      <c r="B43" s="35" t="s">
        <v>269</v>
      </c>
      <c r="C43" s="5" t="s">
        <v>277</v>
      </c>
      <c r="D43" s="28">
        <v>8</v>
      </c>
      <c r="E43" s="27">
        <v>45980</v>
      </c>
      <c r="F43" s="5" t="s">
        <v>274</v>
      </c>
      <c r="G43" s="5" t="s">
        <v>271</v>
      </c>
    </row>
    <row r="44" spans="1:8" ht="14.5" x14ac:dyDescent="0.3">
      <c r="A44" s="37"/>
      <c r="D44" s="28" t="s">
        <v>206</v>
      </c>
      <c r="E44" s="5"/>
    </row>
    <row r="45" spans="1:8" ht="28" x14ac:dyDescent="0.3">
      <c r="A45" s="37" t="s">
        <v>668</v>
      </c>
      <c r="D45" s="41">
        <f>SUM(D2:D43)</f>
        <v>433</v>
      </c>
      <c r="G45" s="29"/>
    </row>
    <row r="46" spans="1:8" ht="58" x14ac:dyDescent="0.3">
      <c r="A46" s="37" t="s">
        <v>29</v>
      </c>
      <c r="B46" s="5" cm="1">
        <f t="array" ref="B46">SUMPRODUCT(--(TRIM(CLEAN(SUBSTITUTE($A$2:$A$43,CHAR(160)," ")))="IEEE Xplore"), --$D$2:$D$43)</f>
        <v>55</v>
      </c>
      <c r="D46" s="28" t="s">
        <v>280</v>
      </c>
      <c r="G46" s="29"/>
    </row>
    <row r="47" spans="1:8" ht="21.5" customHeight="1" x14ac:dyDescent="0.3">
      <c r="A47" s="37" t="s">
        <v>35</v>
      </c>
      <c r="B47" s="5" cm="1">
        <f t="array" ref="B47">SUMPRODUCT(--(TRIM(CLEAN(SUBSTITUTE($A$2:$A$43,CHAR(160)," ")))="Scopus"), --$D$2:$D$43)</f>
        <v>86</v>
      </c>
      <c r="C47" s="4"/>
      <c r="D47" s="5" t="s">
        <v>574</v>
      </c>
      <c r="G47" s="29"/>
    </row>
    <row r="48" spans="1:8" ht="56" x14ac:dyDescent="0.3">
      <c r="A48" s="37" t="s">
        <v>32</v>
      </c>
      <c r="B48" s="5" cm="1">
        <f t="array" ref="B48">SUMPRODUCT(--(TRIM(CLEAN(SUBSTITUTE($A$2:$A$43,CHAR(160)," ")))="ACM Digital Library"), --$D$2:$D$43)</f>
        <v>120</v>
      </c>
      <c r="C48" s="4"/>
      <c r="D48" s="14" t="s">
        <v>285</v>
      </c>
      <c r="G48" s="29"/>
    </row>
    <row r="49" spans="1:4" x14ac:dyDescent="0.3">
      <c r="A49" s="37" t="s">
        <v>38</v>
      </c>
      <c r="B49" s="5" cm="1">
        <f t="array" ref="B49">SUMPRODUCT(--(TRIM(CLEAN(SUBSTITUTE($A$2:$A$43,CHAR(160)," ")))="ScienceDirect"), --$D$2:$D$43)</f>
        <v>20</v>
      </c>
      <c r="C49" s="4"/>
      <c r="D49" s="14" t="s">
        <v>575</v>
      </c>
    </row>
    <row r="50" spans="1:4" x14ac:dyDescent="0.3">
      <c r="A50" s="37" t="s">
        <v>41</v>
      </c>
      <c r="B50" s="5">
        <f>SUMIF($A$2:$A$43,"SpringerLink",$D$2:$D$43)</f>
        <v>95</v>
      </c>
      <c r="D50" s="14" t="s">
        <v>576</v>
      </c>
    </row>
    <row r="51" spans="1:4" x14ac:dyDescent="0.3">
      <c r="A51" s="37" t="s">
        <v>44</v>
      </c>
      <c r="B51" s="5">
        <f>SUMIF($A$2:$A$43,"arXiv.org",$D$2:$D$43)</f>
        <v>57</v>
      </c>
    </row>
    <row r="52" spans="1:4" ht="42" x14ac:dyDescent="0.3">
      <c r="A52" s="37" t="s">
        <v>667</v>
      </c>
      <c r="B52" s="5">
        <f>SUM(B46:B51)</f>
        <v>433</v>
      </c>
      <c r="D52" s="5" t="s">
        <v>577</v>
      </c>
    </row>
    <row r="53" spans="1:4" x14ac:dyDescent="0.3">
      <c r="A53" s="37"/>
    </row>
    <row r="54" spans="1:4" x14ac:dyDescent="0.3">
      <c r="A54" s="37"/>
    </row>
    <row r="55" spans="1:4" x14ac:dyDescent="0.3">
      <c r="A55" s="37"/>
    </row>
    <row r="56" spans="1:4" x14ac:dyDescent="0.3">
      <c r="A56" s="37"/>
    </row>
    <row r="57" spans="1:4" x14ac:dyDescent="0.3">
      <c r="A57" s="37"/>
    </row>
    <row r="58" spans="1:4" x14ac:dyDescent="0.3">
      <c r="A58" s="37"/>
    </row>
    <row r="59" spans="1:4" x14ac:dyDescent="0.3">
      <c r="A59" s="37"/>
    </row>
    <row r="60" spans="1:4" x14ac:dyDescent="0.3">
      <c r="A60" s="37"/>
    </row>
    <row r="61" spans="1:4" x14ac:dyDescent="0.3">
      <c r="A61" s="37"/>
    </row>
    <row r="62" spans="1:4" x14ac:dyDescent="0.3">
      <c r="A62" s="37"/>
    </row>
    <row r="63" spans="1:4" x14ac:dyDescent="0.3">
      <c r="A63" s="37"/>
    </row>
    <row r="64" spans="1:4" x14ac:dyDescent="0.3">
      <c r="A64" s="37"/>
    </row>
    <row r="65" spans="1:1" x14ac:dyDescent="0.3">
      <c r="A65" s="37"/>
    </row>
    <row r="66" spans="1:1" x14ac:dyDescent="0.3">
      <c r="A66" s="37"/>
    </row>
    <row r="67" spans="1:1" x14ac:dyDescent="0.3">
      <c r="A67" s="37"/>
    </row>
    <row r="68" spans="1:1" x14ac:dyDescent="0.3">
      <c r="A68" s="37"/>
    </row>
    <row r="69" spans="1:1" x14ac:dyDescent="0.3">
      <c r="A69" s="37"/>
    </row>
    <row r="70" spans="1:1" x14ac:dyDescent="0.3">
      <c r="A70" s="37"/>
    </row>
    <row r="71" spans="1:1" x14ac:dyDescent="0.3">
      <c r="A71" s="37"/>
    </row>
    <row r="72" spans="1:1" x14ac:dyDescent="0.3">
      <c r="A72" s="37"/>
    </row>
    <row r="73" spans="1:1" x14ac:dyDescent="0.3">
      <c r="A73" s="37"/>
    </row>
    <row r="74" spans="1:1" x14ac:dyDescent="0.3">
      <c r="A74" s="37"/>
    </row>
    <row r="75" spans="1:1" x14ac:dyDescent="0.3">
      <c r="A75" s="37"/>
    </row>
    <row r="76" spans="1:1" x14ac:dyDescent="0.3">
      <c r="A76" s="37"/>
    </row>
    <row r="77" spans="1:1" x14ac:dyDescent="0.3">
      <c r="A77" s="37"/>
    </row>
    <row r="78" spans="1:1" x14ac:dyDescent="0.3">
      <c r="A78" s="37"/>
    </row>
    <row r="79" spans="1:1" x14ac:dyDescent="0.3">
      <c r="A79" s="37"/>
    </row>
    <row r="80" spans="1:1" x14ac:dyDescent="0.3">
      <c r="A80" s="37"/>
    </row>
    <row r="81" spans="1:1" x14ac:dyDescent="0.3">
      <c r="A81" s="37"/>
    </row>
    <row r="82" spans="1:1" x14ac:dyDescent="0.3">
      <c r="A82" s="37"/>
    </row>
    <row r="83" spans="1:1" x14ac:dyDescent="0.3">
      <c r="A83" s="37"/>
    </row>
    <row r="84" spans="1:1" x14ac:dyDescent="0.3">
      <c r="A84" s="37"/>
    </row>
    <row r="85" spans="1:1" x14ac:dyDescent="0.3">
      <c r="A85" s="37"/>
    </row>
    <row r="86" spans="1:1" x14ac:dyDescent="0.3">
      <c r="A86" s="37"/>
    </row>
    <row r="87" spans="1:1" x14ac:dyDescent="0.3">
      <c r="A87" s="37"/>
    </row>
    <row r="88" spans="1:1" x14ac:dyDescent="0.3">
      <c r="A88" s="37"/>
    </row>
  </sheetData>
  <phoneticPr fontId="29" type="noConversion"/>
  <pageMargins left="0.25" right="0.25" top="0.75" bottom="0.75" header="0.3" footer="0.3"/>
  <pageSetup paperSize="3"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EA3564-9BE6-4D0C-AC0B-919D537AB6BC}">
  <dimension ref="A1:C7"/>
  <sheetViews>
    <sheetView zoomScale="67" workbookViewId="0">
      <selection activeCell="C4" sqref="C4"/>
    </sheetView>
  </sheetViews>
  <sheetFormatPr defaultColWidth="8.6640625" defaultRowHeight="14" x14ac:dyDescent="0.3"/>
  <cols>
    <col min="1" max="1" width="8.6640625" style="5"/>
    <col min="2" max="2" width="51.08203125" style="5" customWidth="1"/>
    <col min="3" max="3" width="56.83203125" style="5" customWidth="1"/>
    <col min="4" max="16384" width="8.6640625" style="5"/>
  </cols>
  <sheetData>
    <row r="1" spans="1:3" x14ac:dyDescent="0.3">
      <c r="A1" s="23" t="s">
        <v>25</v>
      </c>
      <c r="B1" s="23" t="s">
        <v>51</v>
      </c>
      <c r="C1" s="23" t="s">
        <v>52</v>
      </c>
    </row>
    <row r="2" spans="1:3" ht="73.5" customHeight="1" x14ac:dyDescent="0.3">
      <c r="A2" s="5" t="s">
        <v>80</v>
      </c>
      <c r="B2" s="75" t="s">
        <v>360</v>
      </c>
      <c r="C2" s="5" t="s">
        <v>637</v>
      </c>
    </row>
    <row r="3" spans="1:3" ht="66" customHeight="1" x14ac:dyDescent="0.3">
      <c r="A3" s="5" t="s">
        <v>81</v>
      </c>
      <c r="B3" s="40" t="s">
        <v>86</v>
      </c>
      <c r="C3" s="5" t="s">
        <v>89</v>
      </c>
    </row>
    <row r="4" spans="1:3" ht="70" x14ac:dyDescent="0.3">
      <c r="A4" s="5" t="s">
        <v>82</v>
      </c>
      <c r="B4" s="47" t="s">
        <v>281</v>
      </c>
      <c r="C4" s="5" t="s">
        <v>204</v>
      </c>
    </row>
    <row r="5" spans="1:3" ht="42" x14ac:dyDescent="0.3">
      <c r="A5" s="5" t="s">
        <v>83</v>
      </c>
      <c r="B5" s="46" t="s">
        <v>202</v>
      </c>
      <c r="C5" s="5" t="s">
        <v>90</v>
      </c>
    </row>
    <row r="6" spans="1:3" ht="53" customHeight="1" x14ac:dyDescent="0.3">
      <c r="A6" s="5" t="s">
        <v>84</v>
      </c>
      <c r="B6" s="77" t="s">
        <v>88</v>
      </c>
      <c r="C6" s="5" t="s">
        <v>91</v>
      </c>
    </row>
    <row r="7" spans="1:3" ht="42" x14ac:dyDescent="0.3">
      <c r="A7" s="5" t="s">
        <v>85</v>
      </c>
      <c r="B7" s="24" t="s">
        <v>87</v>
      </c>
      <c r="C7" s="5" t="s">
        <v>92</v>
      </c>
    </row>
  </sheetData>
  <phoneticPr fontId="29"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53C018-5407-43AD-8C4F-0B44433D9511}">
  <dimension ref="A1:C7"/>
  <sheetViews>
    <sheetView tabSelected="1" zoomScale="72" workbookViewId="0">
      <selection activeCell="B5" sqref="B5"/>
    </sheetView>
  </sheetViews>
  <sheetFormatPr defaultColWidth="8.6640625" defaultRowHeight="14" x14ac:dyDescent="0.3"/>
  <cols>
    <col min="1" max="1" width="5.5" style="5" customWidth="1"/>
    <col min="2" max="2" width="44.6640625" style="5" customWidth="1"/>
    <col min="3" max="3" width="49.9140625" style="5" customWidth="1"/>
    <col min="4" max="16384" width="8.6640625" style="5"/>
  </cols>
  <sheetData>
    <row r="1" spans="1:3" x14ac:dyDescent="0.3">
      <c r="A1" s="23" t="s">
        <v>25</v>
      </c>
      <c r="B1" s="23" t="s">
        <v>53</v>
      </c>
      <c r="C1" s="23" t="s">
        <v>52</v>
      </c>
    </row>
    <row r="2" spans="1:3" ht="42" x14ac:dyDescent="0.3">
      <c r="A2" s="5" t="s">
        <v>93</v>
      </c>
      <c r="B2" s="24" t="s">
        <v>99</v>
      </c>
      <c r="C2" s="5" t="s">
        <v>102</v>
      </c>
    </row>
    <row r="3" spans="1:3" ht="42" x14ac:dyDescent="0.3">
      <c r="A3" s="5" t="s">
        <v>94</v>
      </c>
      <c r="B3" s="24" t="s">
        <v>100</v>
      </c>
      <c r="C3" s="5" t="s">
        <v>103</v>
      </c>
    </row>
    <row r="4" spans="1:3" ht="42.5" x14ac:dyDescent="0.3">
      <c r="A4" s="5" t="s">
        <v>95</v>
      </c>
      <c r="B4" s="47" t="s">
        <v>284</v>
      </c>
      <c r="C4" s="5" t="s">
        <v>207</v>
      </c>
    </row>
    <row r="5" spans="1:3" ht="56.5" x14ac:dyDescent="0.3">
      <c r="A5" s="5" t="s">
        <v>96</v>
      </c>
      <c r="B5" s="78" t="s">
        <v>283</v>
      </c>
      <c r="C5" s="5" t="s">
        <v>203</v>
      </c>
    </row>
    <row r="6" spans="1:3" ht="42.5" x14ac:dyDescent="0.3">
      <c r="A6" s="5" t="s">
        <v>97</v>
      </c>
      <c r="B6" s="47" t="s">
        <v>101</v>
      </c>
      <c r="C6" s="5" t="s">
        <v>104</v>
      </c>
    </row>
    <row r="7" spans="1:3" ht="56" x14ac:dyDescent="0.3">
      <c r="A7" s="5" t="s">
        <v>98</v>
      </c>
      <c r="B7" s="47" t="s">
        <v>282</v>
      </c>
      <c r="C7" s="5" t="s">
        <v>105</v>
      </c>
    </row>
  </sheetData>
  <phoneticPr fontId="29"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035B76-B0C4-49C6-99FB-20C908B0356B}">
  <dimension ref="A1:E13"/>
  <sheetViews>
    <sheetView zoomScale="84" workbookViewId="0">
      <selection activeCell="B27" sqref="B27"/>
    </sheetView>
  </sheetViews>
  <sheetFormatPr defaultColWidth="9" defaultRowHeight="14" x14ac:dyDescent="0.3"/>
  <cols>
    <col min="1" max="1" width="25.08203125" style="1" customWidth="1"/>
    <col min="2" max="2" width="46.5" style="1" customWidth="1"/>
    <col min="3" max="3" width="27.6640625" style="1" customWidth="1"/>
    <col min="4" max="4" width="17.6640625" style="1" customWidth="1"/>
    <col min="5" max="16384" width="9" style="1"/>
  </cols>
  <sheetData>
    <row r="1" spans="1:5" ht="14.5" x14ac:dyDescent="0.3">
      <c r="A1" s="8" t="s">
        <v>54</v>
      </c>
      <c r="B1" s="8" t="s">
        <v>55</v>
      </c>
      <c r="C1" s="8" t="s">
        <v>56</v>
      </c>
      <c r="D1" s="8" t="s">
        <v>228</v>
      </c>
      <c r="E1" s="43"/>
    </row>
    <row r="2" spans="1:5" ht="43.5" x14ac:dyDescent="0.3">
      <c r="A2" s="42" t="s">
        <v>210</v>
      </c>
      <c r="B2" s="42" t="s">
        <v>211</v>
      </c>
      <c r="C2" s="42" t="s">
        <v>222</v>
      </c>
      <c r="D2" s="42" t="s">
        <v>229</v>
      </c>
      <c r="E2" s="7"/>
    </row>
    <row r="3" spans="1:5" ht="43.5" x14ac:dyDescent="0.3">
      <c r="A3" s="42" t="s">
        <v>212</v>
      </c>
      <c r="B3" s="42" t="s">
        <v>213</v>
      </c>
      <c r="C3" s="42" t="s">
        <v>223</v>
      </c>
      <c r="D3" s="42" t="s">
        <v>230</v>
      </c>
      <c r="E3" s="7"/>
    </row>
    <row r="4" spans="1:5" ht="43.5" x14ac:dyDescent="0.3">
      <c r="A4" s="42" t="s">
        <v>214</v>
      </c>
      <c r="B4" s="42" t="s">
        <v>218</v>
      </c>
      <c r="C4" s="42" t="s">
        <v>224</v>
      </c>
      <c r="D4" s="42" t="s">
        <v>231</v>
      </c>
      <c r="E4" s="7"/>
    </row>
    <row r="5" spans="1:5" ht="43.5" x14ac:dyDescent="0.3">
      <c r="A5" s="42" t="s">
        <v>215</v>
      </c>
      <c r="B5" s="42" t="s">
        <v>219</v>
      </c>
      <c r="C5" s="42" t="s">
        <v>225</v>
      </c>
      <c r="D5" s="42" t="s">
        <v>232</v>
      </c>
      <c r="E5" s="7"/>
    </row>
    <row r="6" spans="1:5" ht="43.5" x14ac:dyDescent="0.3">
      <c r="A6" s="42" t="s">
        <v>216</v>
      </c>
      <c r="B6" s="42" t="s">
        <v>220</v>
      </c>
      <c r="C6" s="42" t="s">
        <v>226</v>
      </c>
      <c r="D6" s="42" t="s">
        <v>233</v>
      </c>
      <c r="E6" s="7"/>
    </row>
    <row r="7" spans="1:5" ht="43.5" x14ac:dyDescent="0.3">
      <c r="A7" s="42" t="s">
        <v>217</v>
      </c>
      <c r="B7" s="42" t="s">
        <v>221</v>
      </c>
      <c r="C7" s="42" t="s">
        <v>227</v>
      </c>
      <c r="D7" s="42" t="s">
        <v>234</v>
      </c>
      <c r="E7" s="7"/>
    </row>
    <row r="10" spans="1:5" ht="14.5" x14ac:dyDescent="0.35">
      <c r="A10" s="44" t="s">
        <v>235</v>
      </c>
    </row>
    <row r="11" spans="1:5" ht="14.5" x14ac:dyDescent="0.35">
      <c r="A11" s="44" t="s">
        <v>57</v>
      </c>
      <c r="B11" s="45" t="s">
        <v>236</v>
      </c>
    </row>
    <row r="12" spans="1:5" ht="14.5" x14ac:dyDescent="0.3">
      <c r="B12" s="45" t="s">
        <v>237</v>
      </c>
    </row>
    <row r="13" spans="1:5" ht="14.5" x14ac:dyDescent="0.3">
      <c r="B13" s="45" t="s">
        <v>238</v>
      </c>
    </row>
  </sheetData>
  <phoneticPr fontId="29"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B73705-E6F1-4635-9443-B43BC4A68070}">
  <dimension ref="A1:AS40"/>
  <sheetViews>
    <sheetView zoomScale="69" zoomScaleNormal="40" workbookViewId="0">
      <pane ySplit="1" topLeftCell="A2" activePane="bottomLeft" state="frozen"/>
      <selection activeCell="C1" sqref="C1"/>
      <selection pane="bottomLeft" activeCell="V3" sqref="V3"/>
    </sheetView>
  </sheetViews>
  <sheetFormatPr defaultColWidth="13.5" defaultRowHeight="14" x14ac:dyDescent="0.3"/>
  <cols>
    <col min="1" max="1" width="19.6640625" style="54" customWidth="1"/>
    <col min="2" max="2" width="8.58203125" style="54" customWidth="1"/>
    <col min="3" max="3" width="6.4140625" style="54" customWidth="1"/>
    <col min="4" max="4" width="40.6640625" style="54" customWidth="1"/>
    <col min="5" max="5" width="16.1640625" style="54" customWidth="1"/>
    <col min="6" max="6" width="13.5" style="54"/>
    <col min="7" max="7" width="30" style="54" customWidth="1"/>
    <col min="8" max="9" width="13.5" style="54"/>
    <col min="10" max="10" width="23.58203125" style="55" customWidth="1"/>
    <col min="11" max="11" width="35" style="1" customWidth="1"/>
    <col min="12" max="12" width="31.75" style="55" customWidth="1"/>
    <col min="13" max="13" width="29.75" style="1" customWidth="1"/>
    <col min="14" max="14" width="25.4140625" style="55" customWidth="1"/>
    <col min="15" max="15" width="29.08203125" style="1" customWidth="1"/>
    <col min="16" max="16" width="24.5" style="55" customWidth="1"/>
    <col min="17" max="17" width="20.25" style="1" customWidth="1"/>
    <col min="18" max="19" width="24.6640625" style="1" customWidth="1"/>
    <col min="20" max="20" width="22.6640625" style="55" customWidth="1"/>
    <col min="21" max="21" width="22.9140625" style="1" customWidth="1"/>
    <col min="22" max="22" width="25.83203125" style="55" customWidth="1"/>
    <col min="23" max="23" width="28.08203125" style="1" customWidth="1"/>
    <col min="24" max="24" width="30.33203125" style="55" customWidth="1"/>
    <col min="25" max="25" width="29.58203125" style="1" customWidth="1"/>
    <col min="26" max="26" width="22.4140625" style="1" customWidth="1"/>
    <col min="27" max="27" width="20.75" style="55" customWidth="1"/>
    <col min="28" max="28" width="21.1640625" style="1" customWidth="1"/>
    <col min="29" max="29" width="17.58203125" style="55" customWidth="1"/>
    <col min="30" max="30" width="33" style="1" customWidth="1"/>
    <col min="31" max="31" width="24.33203125" style="55" customWidth="1"/>
    <col min="32" max="32" width="28.25" style="1" customWidth="1"/>
    <col min="33" max="33" width="17.1640625" style="55" customWidth="1"/>
    <col min="34" max="34" width="21.83203125" style="1" customWidth="1"/>
    <col min="35" max="35" width="29.1640625" style="55" customWidth="1"/>
    <col min="36" max="36" width="31.4140625" style="1" customWidth="1"/>
    <col min="37" max="37" width="13.5" style="55"/>
    <col min="38" max="16384" width="13.5" style="1"/>
  </cols>
  <sheetData>
    <row r="1" spans="1:37" s="62" customFormat="1" ht="18.5" x14ac:dyDescent="0.3">
      <c r="A1" s="62" t="s">
        <v>518</v>
      </c>
      <c r="B1" s="48" t="s">
        <v>523</v>
      </c>
      <c r="C1" s="48" t="s">
        <v>609</v>
      </c>
      <c r="D1" s="48" t="s">
        <v>239</v>
      </c>
      <c r="E1" s="48" t="s">
        <v>357</v>
      </c>
      <c r="F1" s="48" t="s">
        <v>245</v>
      </c>
      <c r="G1" s="48" t="s">
        <v>362</v>
      </c>
      <c r="H1" s="48" t="s">
        <v>255</v>
      </c>
      <c r="I1" s="48" t="s">
        <v>261</v>
      </c>
      <c r="J1" s="63" t="s">
        <v>266</v>
      </c>
      <c r="K1" s="48" t="s">
        <v>422</v>
      </c>
      <c r="L1" s="63" t="s">
        <v>349</v>
      </c>
      <c r="M1" s="48" t="s">
        <v>638</v>
      </c>
      <c r="N1" s="63" t="s">
        <v>350</v>
      </c>
      <c r="O1" s="48" t="s">
        <v>399</v>
      </c>
      <c r="P1" s="63" t="s">
        <v>267</v>
      </c>
      <c r="Q1" s="48" t="s">
        <v>639</v>
      </c>
      <c r="R1" s="48" t="s">
        <v>379</v>
      </c>
      <c r="S1" s="48" t="s">
        <v>640</v>
      </c>
      <c r="T1" s="63" t="s">
        <v>641</v>
      </c>
      <c r="U1" s="48" t="s">
        <v>642</v>
      </c>
      <c r="V1" s="63" t="s">
        <v>643</v>
      </c>
      <c r="W1" s="48" t="s">
        <v>351</v>
      </c>
      <c r="X1" s="63" t="s">
        <v>352</v>
      </c>
      <c r="Y1" s="48" t="s">
        <v>644</v>
      </c>
      <c r="Z1" s="48" t="s">
        <v>361</v>
      </c>
      <c r="AA1" s="63" t="s">
        <v>353</v>
      </c>
      <c r="AB1" s="70" t="s">
        <v>354</v>
      </c>
      <c r="AC1" s="63" t="s">
        <v>355</v>
      </c>
      <c r="AD1" s="48" t="s">
        <v>356</v>
      </c>
      <c r="AE1" s="63" t="s">
        <v>210</v>
      </c>
      <c r="AF1" s="48" t="s">
        <v>212</v>
      </c>
      <c r="AG1" s="63" t="s">
        <v>214</v>
      </c>
      <c r="AH1" s="48" t="s">
        <v>215</v>
      </c>
      <c r="AI1" s="63" t="s">
        <v>216</v>
      </c>
      <c r="AJ1" s="48" t="s">
        <v>217</v>
      </c>
      <c r="AK1" s="63" t="s">
        <v>58</v>
      </c>
    </row>
    <row r="2" spans="1:37" s="49" customFormat="1" ht="126" x14ac:dyDescent="0.3">
      <c r="A2" s="50" t="s">
        <v>499</v>
      </c>
      <c r="B2" s="50" t="s">
        <v>524</v>
      </c>
      <c r="C2" s="50">
        <v>2024</v>
      </c>
      <c r="D2" s="50" t="s">
        <v>307</v>
      </c>
      <c r="E2" s="50" t="s">
        <v>343</v>
      </c>
      <c r="F2" s="50" t="s">
        <v>294</v>
      </c>
      <c r="G2" s="50" t="s">
        <v>363</v>
      </c>
      <c r="H2" s="50" t="s">
        <v>320</v>
      </c>
      <c r="I2" s="50" t="s">
        <v>330</v>
      </c>
      <c r="J2" s="66" t="s">
        <v>394</v>
      </c>
      <c r="K2" s="72" t="s">
        <v>605</v>
      </c>
      <c r="L2" s="52" t="s">
        <v>374</v>
      </c>
      <c r="M2" s="51" t="s">
        <v>445</v>
      </c>
      <c r="N2" s="52" t="s">
        <v>647</v>
      </c>
      <c r="O2" s="52" t="s">
        <v>431</v>
      </c>
      <c r="P2" s="52" t="s">
        <v>671</v>
      </c>
      <c r="Q2" s="52" t="s">
        <v>464</v>
      </c>
      <c r="R2" s="52" t="s">
        <v>380</v>
      </c>
      <c r="S2" s="52" t="s">
        <v>381</v>
      </c>
      <c r="T2" s="76" t="s">
        <v>375</v>
      </c>
      <c r="U2" s="51" t="s">
        <v>439</v>
      </c>
      <c r="V2" s="52" t="s">
        <v>472</v>
      </c>
      <c r="W2" s="52" t="s">
        <v>560</v>
      </c>
      <c r="X2" s="51" t="s">
        <v>376</v>
      </c>
      <c r="Y2" s="52" t="s">
        <v>377</v>
      </c>
      <c r="Z2" s="73" t="s">
        <v>433</v>
      </c>
      <c r="AA2" s="51" t="s">
        <v>384</v>
      </c>
      <c r="AB2" s="65" t="s">
        <v>446</v>
      </c>
      <c r="AC2" s="51" t="s">
        <v>373</v>
      </c>
      <c r="AD2" s="74" t="s">
        <v>632</v>
      </c>
      <c r="AE2" s="51">
        <v>2</v>
      </c>
      <c r="AF2" s="51">
        <v>2</v>
      </c>
      <c r="AG2" s="51">
        <v>1</v>
      </c>
      <c r="AH2" s="51">
        <v>2</v>
      </c>
      <c r="AI2" s="51">
        <v>2</v>
      </c>
      <c r="AJ2" s="51">
        <v>2</v>
      </c>
      <c r="AK2" s="51">
        <f>SUM(AE2:AJ2)</f>
        <v>11</v>
      </c>
    </row>
    <row r="3" spans="1:37" s="49" customFormat="1" ht="238" x14ac:dyDescent="0.3">
      <c r="A3" s="60" t="s">
        <v>500</v>
      </c>
      <c r="B3" s="50" t="s">
        <v>525</v>
      </c>
      <c r="C3" s="50">
        <v>2024</v>
      </c>
      <c r="D3" s="50" t="s">
        <v>304</v>
      </c>
      <c r="E3" s="50" t="s">
        <v>338</v>
      </c>
      <c r="F3" s="50" t="s">
        <v>291</v>
      </c>
      <c r="G3" s="50" t="s">
        <v>365</v>
      </c>
      <c r="H3" s="50" t="s">
        <v>317</v>
      </c>
      <c r="I3" s="50" t="s">
        <v>327</v>
      </c>
      <c r="J3" s="66" t="s">
        <v>394</v>
      </c>
      <c r="K3" s="52" t="s">
        <v>438</v>
      </c>
      <c r="L3" s="52" t="s">
        <v>374</v>
      </c>
      <c r="M3" s="51" t="s">
        <v>445</v>
      </c>
      <c r="N3" s="52" t="s">
        <v>646</v>
      </c>
      <c r="O3" s="52" t="s">
        <v>435</v>
      </c>
      <c r="P3" s="64" t="s">
        <v>670</v>
      </c>
      <c r="Q3" s="52" t="s">
        <v>464</v>
      </c>
      <c r="R3" s="52" t="s">
        <v>380</v>
      </c>
      <c r="S3" s="52" t="s">
        <v>387</v>
      </c>
      <c r="T3" s="52" t="s">
        <v>382</v>
      </c>
      <c r="U3" s="51" t="s">
        <v>400</v>
      </c>
      <c r="V3" s="52" t="s">
        <v>424</v>
      </c>
      <c r="W3" s="52" t="s">
        <v>561</v>
      </c>
      <c r="X3" s="52" t="s">
        <v>562</v>
      </c>
      <c r="Y3" s="52" t="s">
        <v>434</v>
      </c>
      <c r="Z3" s="51" t="s">
        <v>425</v>
      </c>
      <c r="AA3" s="51" t="s">
        <v>384</v>
      </c>
      <c r="AB3" s="51" t="s">
        <v>436</v>
      </c>
      <c r="AC3" s="51" t="s">
        <v>398</v>
      </c>
      <c r="AD3" s="52" t="s">
        <v>454</v>
      </c>
      <c r="AE3" s="51">
        <v>2</v>
      </c>
      <c r="AF3" s="51">
        <v>1</v>
      </c>
      <c r="AG3" s="51">
        <v>1</v>
      </c>
      <c r="AH3" s="51">
        <v>1</v>
      </c>
      <c r="AI3" s="51">
        <v>2</v>
      </c>
      <c r="AJ3" s="51">
        <v>1</v>
      </c>
      <c r="AK3" s="51">
        <f t="shared" ref="AK3:AK20" si="0">SUM(AE3:AJ3)</f>
        <v>8</v>
      </c>
    </row>
    <row r="4" spans="1:37" s="49" customFormat="1" ht="207" x14ac:dyDescent="0.3">
      <c r="A4" s="60" t="s">
        <v>501</v>
      </c>
      <c r="B4" s="50" t="s">
        <v>526</v>
      </c>
      <c r="C4" s="50">
        <v>2024</v>
      </c>
      <c r="D4" s="50" t="s">
        <v>302</v>
      </c>
      <c r="E4" s="50" t="s">
        <v>339</v>
      </c>
      <c r="F4" s="50" t="s">
        <v>289</v>
      </c>
      <c r="G4" s="50" t="s">
        <v>366</v>
      </c>
      <c r="H4" s="50" t="s">
        <v>315</v>
      </c>
      <c r="I4" s="50"/>
      <c r="J4" s="66" t="s">
        <v>394</v>
      </c>
      <c r="K4" s="52" t="s">
        <v>606</v>
      </c>
      <c r="L4" s="51" t="s">
        <v>374</v>
      </c>
      <c r="M4" s="51" t="s">
        <v>395</v>
      </c>
      <c r="N4" s="51" t="s">
        <v>648</v>
      </c>
      <c r="O4" s="51" t="s">
        <v>432</v>
      </c>
      <c r="P4" s="51" t="s">
        <v>463</v>
      </c>
      <c r="Q4" s="51" t="s">
        <v>464</v>
      </c>
      <c r="R4" s="51" t="s">
        <v>441</v>
      </c>
      <c r="S4" s="51" t="s">
        <v>441</v>
      </c>
      <c r="T4" s="51" t="s">
        <v>430</v>
      </c>
      <c r="U4" s="51" t="s">
        <v>411</v>
      </c>
      <c r="V4" s="51" t="s">
        <v>636</v>
      </c>
      <c r="W4" s="51" t="s">
        <v>613</v>
      </c>
      <c r="X4" s="51" t="s">
        <v>442</v>
      </c>
      <c r="Y4" s="51" t="s">
        <v>567</v>
      </c>
      <c r="Z4" s="51" t="s">
        <v>633</v>
      </c>
      <c r="AA4" s="51" t="s">
        <v>384</v>
      </c>
      <c r="AB4" s="51" t="s">
        <v>447</v>
      </c>
      <c r="AC4" s="51" t="s">
        <v>398</v>
      </c>
      <c r="AD4" s="65" t="s">
        <v>455</v>
      </c>
      <c r="AE4" s="51">
        <v>2</v>
      </c>
      <c r="AF4" s="51">
        <v>2</v>
      </c>
      <c r="AG4" s="51">
        <v>2</v>
      </c>
      <c r="AH4" s="51">
        <v>2</v>
      </c>
      <c r="AI4" s="51">
        <v>2</v>
      </c>
      <c r="AJ4" s="51">
        <v>1</v>
      </c>
      <c r="AK4" s="51">
        <f t="shared" si="0"/>
        <v>11</v>
      </c>
    </row>
    <row r="5" spans="1:37" s="49" customFormat="1" ht="196" x14ac:dyDescent="0.3">
      <c r="A5" s="60" t="s">
        <v>502</v>
      </c>
      <c r="B5" s="50" t="s">
        <v>527</v>
      </c>
      <c r="C5" s="50">
        <v>2024</v>
      </c>
      <c r="D5" s="50" t="s">
        <v>306</v>
      </c>
      <c r="E5" s="50" t="s">
        <v>344</v>
      </c>
      <c r="F5" s="50" t="s">
        <v>293</v>
      </c>
      <c r="G5" s="50"/>
      <c r="H5" s="50" t="s">
        <v>319</v>
      </c>
      <c r="I5" s="50" t="s">
        <v>329</v>
      </c>
      <c r="J5" s="51" t="s">
        <v>76</v>
      </c>
      <c r="K5" s="51" t="s">
        <v>677</v>
      </c>
      <c r="L5" s="51" t="s">
        <v>444</v>
      </c>
      <c r="M5" s="51" t="s">
        <v>445</v>
      </c>
      <c r="N5" s="51" t="s">
        <v>649</v>
      </c>
      <c r="O5" s="51" t="s">
        <v>451</v>
      </c>
      <c r="P5" s="51" t="s">
        <v>437</v>
      </c>
      <c r="Q5" s="51" t="s">
        <v>465</v>
      </c>
      <c r="R5" s="51" t="s">
        <v>473</v>
      </c>
      <c r="S5" s="51" t="s">
        <v>599</v>
      </c>
      <c r="T5" s="51" t="s">
        <v>430</v>
      </c>
      <c r="U5" s="51" t="s">
        <v>450</v>
      </c>
      <c r="V5" s="51" t="s">
        <v>449</v>
      </c>
      <c r="W5" s="51" t="s">
        <v>563</v>
      </c>
      <c r="X5" s="51" t="s">
        <v>385</v>
      </c>
      <c r="Y5" s="51" t="s">
        <v>453</v>
      </c>
      <c r="Z5" s="51" t="s">
        <v>427</v>
      </c>
      <c r="AA5" s="51" t="s">
        <v>452</v>
      </c>
      <c r="AB5" s="51" t="s">
        <v>448</v>
      </c>
      <c r="AC5" s="51" t="s">
        <v>383</v>
      </c>
      <c r="AD5" s="51" t="s">
        <v>619</v>
      </c>
      <c r="AE5" s="51">
        <v>2</v>
      </c>
      <c r="AF5" s="51">
        <v>1</v>
      </c>
      <c r="AG5" s="51">
        <v>1</v>
      </c>
      <c r="AH5" s="51">
        <v>1</v>
      </c>
      <c r="AI5" s="51">
        <v>2</v>
      </c>
      <c r="AJ5" s="51">
        <v>2</v>
      </c>
      <c r="AK5" s="51">
        <f t="shared" si="0"/>
        <v>9</v>
      </c>
    </row>
    <row r="6" spans="1:37" s="49" customFormat="1" ht="140" x14ac:dyDescent="0.3">
      <c r="A6" s="60" t="s">
        <v>503</v>
      </c>
      <c r="B6" s="50" t="s">
        <v>528</v>
      </c>
      <c r="C6" s="50">
        <v>2022</v>
      </c>
      <c r="D6" s="50" t="s">
        <v>300</v>
      </c>
      <c r="E6" s="50" t="s">
        <v>253</v>
      </c>
      <c r="F6" s="53" t="s">
        <v>286</v>
      </c>
      <c r="G6" s="50"/>
      <c r="H6" s="53" t="s">
        <v>312</v>
      </c>
      <c r="I6" s="53"/>
      <c r="J6" s="51" t="s">
        <v>394</v>
      </c>
      <c r="K6" s="51" t="s">
        <v>456</v>
      </c>
      <c r="L6" s="51" t="s">
        <v>374</v>
      </c>
      <c r="M6" s="51" t="s">
        <v>445</v>
      </c>
      <c r="N6" s="51" t="s">
        <v>650</v>
      </c>
      <c r="O6" s="51" t="s">
        <v>435</v>
      </c>
      <c r="P6" s="51" t="s">
        <v>493</v>
      </c>
      <c r="Q6" s="51" t="s">
        <v>466</v>
      </c>
      <c r="R6" s="51" t="s">
        <v>675</v>
      </c>
      <c r="S6" s="51" t="s">
        <v>388</v>
      </c>
      <c r="T6" s="51" t="s">
        <v>386</v>
      </c>
      <c r="U6" s="51" t="s">
        <v>485</v>
      </c>
      <c r="V6" s="51" t="s">
        <v>423</v>
      </c>
      <c r="W6" s="51" t="s">
        <v>564</v>
      </c>
      <c r="X6" s="51" t="s">
        <v>421</v>
      </c>
      <c r="Y6" s="51" t="s">
        <v>458</v>
      </c>
      <c r="Z6" s="51" t="s">
        <v>425</v>
      </c>
      <c r="AA6" s="51" t="s">
        <v>457</v>
      </c>
      <c r="AB6" s="51" t="s">
        <v>389</v>
      </c>
      <c r="AC6" s="51" t="s">
        <v>383</v>
      </c>
      <c r="AD6" s="51" t="s">
        <v>634</v>
      </c>
      <c r="AE6" s="51">
        <v>2</v>
      </c>
      <c r="AF6" s="51">
        <v>2</v>
      </c>
      <c r="AG6" s="51">
        <v>1</v>
      </c>
      <c r="AH6" s="51">
        <v>2</v>
      </c>
      <c r="AI6" s="51">
        <v>2</v>
      </c>
      <c r="AJ6" s="51">
        <v>1</v>
      </c>
      <c r="AK6" s="51">
        <f t="shared" si="0"/>
        <v>10</v>
      </c>
    </row>
    <row r="7" spans="1:37" s="68" customFormat="1" ht="84" x14ac:dyDescent="0.3">
      <c r="A7" s="60" t="s">
        <v>504</v>
      </c>
      <c r="B7" s="50" t="s">
        <v>529</v>
      </c>
      <c r="C7" s="50">
        <v>2025</v>
      </c>
      <c r="D7" s="50" t="s">
        <v>309</v>
      </c>
      <c r="E7" s="50" t="s">
        <v>346</v>
      </c>
      <c r="F7" s="50" t="s">
        <v>297</v>
      </c>
      <c r="G7" s="67"/>
      <c r="H7" s="50" t="s">
        <v>323</v>
      </c>
      <c r="I7" s="50" t="s">
        <v>333</v>
      </c>
      <c r="J7" s="50" t="s">
        <v>391</v>
      </c>
      <c r="K7" s="51" t="s">
        <v>482</v>
      </c>
      <c r="L7" s="50" t="s">
        <v>608</v>
      </c>
      <c r="M7" s="50" t="s">
        <v>403</v>
      </c>
      <c r="N7" s="51" t="s">
        <v>651</v>
      </c>
      <c r="O7" s="51" t="s">
        <v>666</v>
      </c>
      <c r="P7" s="50" t="s">
        <v>493</v>
      </c>
      <c r="Q7" s="51" t="s">
        <v>488</v>
      </c>
      <c r="R7" s="50" t="s">
        <v>380</v>
      </c>
      <c r="S7" s="51" t="s">
        <v>387</v>
      </c>
      <c r="T7" s="51" t="s">
        <v>483</v>
      </c>
      <c r="U7" s="50" t="s">
        <v>400</v>
      </c>
      <c r="V7" s="51" t="s">
        <v>484</v>
      </c>
      <c r="W7" s="51" t="s">
        <v>565</v>
      </c>
      <c r="X7" s="51" t="s">
        <v>490</v>
      </c>
      <c r="Y7" s="51" t="s">
        <v>487</v>
      </c>
      <c r="Z7" s="51" t="s">
        <v>425</v>
      </c>
      <c r="AA7" s="50" t="s">
        <v>486</v>
      </c>
      <c r="AB7" s="51" t="s">
        <v>489</v>
      </c>
      <c r="AC7" s="50" t="s">
        <v>398</v>
      </c>
      <c r="AD7" s="51" t="s">
        <v>491</v>
      </c>
      <c r="AE7" s="50">
        <v>2</v>
      </c>
      <c r="AF7" s="50">
        <v>2</v>
      </c>
      <c r="AG7" s="50">
        <v>1</v>
      </c>
      <c r="AH7" s="50">
        <v>1</v>
      </c>
      <c r="AI7" s="50">
        <v>1</v>
      </c>
      <c r="AJ7" s="50">
        <v>1</v>
      </c>
      <c r="AK7" s="50">
        <f t="shared" si="0"/>
        <v>8</v>
      </c>
    </row>
    <row r="8" spans="1:37" s="49" customFormat="1" ht="140" x14ac:dyDescent="0.3">
      <c r="A8" s="50" t="s">
        <v>505</v>
      </c>
      <c r="B8" s="50" t="s">
        <v>530</v>
      </c>
      <c r="C8" s="50">
        <v>2022</v>
      </c>
      <c r="D8" s="50" t="s">
        <v>243</v>
      </c>
      <c r="E8" s="50" t="s">
        <v>336</v>
      </c>
      <c r="F8" s="50" t="s">
        <v>249</v>
      </c>
      <c r="G8" s="50" t="s">
        <v>367</v>
      </c>
      <c r="H8" s="50" t="s">
        <v>259</v>
      </c>
      <c r="I8" s="50" t="s">
        <v>265</v>
      </c>
      <c r="J8" s="51" t="s">
        <v>391</v>
      </c>
      <c r="K8" s="51" t="s">
        <v>474</v>
      </c>
      <c r="L8" s="51" t="s">
        <v>374</v>
      </c>
      <c r="M8" s="51" t="s">
        <v>395</v>
      </c>
      <c r="N8" s="51" t="s">
        <v>654</v>
      </c>
      <c r="O8" s="51" t="s">
        <v>659</v>
      </c>
      <c r="P8" s="51" t="s">
        <v>669</v>
      </c>
      <c r="Q8" s="51" t="s">
        <v>466</v>
      </c>
      <c r="R8" s="51" t="s">
        <v>380</v>
      </c>
      <c r="S8" s="51" t="s">
        <v>388</v>
      </c>
      <c r="T8" s="51" t="s">
        <v>440</v>
      </c>
      <c r="U8" s="51" t="s">
        <v>400</v>
      </c>
      <c r="V8" s="51" t="s">
        <v>459</v>
      </c>
      <c r="W8" s="51" t="s">
        <v>566</v>
      </c>
      <c r="X8" s="51" t="s">
        <v>462</v>
      </c>
      <c r="Y8" s="51" t="s">
        <v>461</v>
      </c>
      <c r="Z8" s="51" t="s">
        <v>426</v>
      </c>
      <c r="AA8" s="51" t="s">
        <v>378</v>
      </c>
      <c r="AB8" s="51" t="s">
        <v>460</v>
      </c>
      <c r="AC8" s="51" t="s">
        <v>398</v>
      </c>
      <c r="AD8" s="51" t="s">
        <v>635</v>
      </c>
      <c r="AE8" s="51">
        <v>2</v>
      </c>
      <c r="AF8" s="51">
        <v>2</v>
      </c>
      <c r="AG8" s="51">
        <v>1</v>
      </c>
      <c r="AH8" s="51">
        <v>1</v>
      </c>
      <c r="AI8" s="51">
        <v>2</v>
      </c>
      <c r="AJ8" s="51"/>
      <c r="AK8" s="51">
        <f t="shared" si="0"/>
        <v>8</v>
      </c>
    </row>
    <row r="9" spans="1:37" s="49" customFormat="1" ht="154" x14ac:dyDescent="0.3">
      <c r="A9" s="68" t="s">
        <v>506</v>
      </c>
      <c r="B9" s="50" t="s">
        <v>531</v>
      </c>
      <c r="C9" s="60">
        <v>2022</v>
      </c>
      <c r="D9" s="60" t="s">
        <v>242</v>
      </c>
      <c r="E9" s="60"/>
      <c r="F9" s="60" t="s">
        <v>248</v>
      </c>
      <c r="G9" s="60" t="s">
        <v>367</v>
      </c>
      <c r="H9" s="60" t="s">
        <v>258</v>
      </c>
      <c r="I9" s="60" t="s">
        <v>264</v>
      </c>
      <c r="J9" s="61" t="s">
        <v>394</v>
      </c>
      <c r="K9" s="61" t="s">
        <v>607</v>
      </c>
      <c r="L9" s="61" t="s">
        <v>374</v>
      </c>
      <c r="M9" s="51" t="s">
        <v>395</v>
      </c>
      <c r="N9" s="61" t="s">
        <v>652</v>
      </c>
      <c r="O9" s="61" t="s">
        <v>665</v>
      </c>
      <c r="P9" s="61" t="s">
        <v>467</v>
      </c>
      <c r="Q9" s="61" t="s">
        <v>477</v>
      </c>
      <c r="R9" s="61" t="s">
        <v>380</v>
      </c>
      <c r="S9" s="61" t="s">
        <v>392</v>
      </c>
      <c r="T9" s="61" t="s">
        <v>393</v>
      </c>
      <c r="U9" s="61" t="s">
        <v>400</v>
      </c>
      <c r="V9" s="61" t="s">
        <v>468</v>
      </c>
      <c r="W9" s="61" t="s">
        <v>614</v>
      </c>
      <c r="X9" s="61" t="s">
        <v>470</v>
      </c>
      <c r="Y9" s="61" t="s">
        <v>471</v>
      </c>
      <c r="Z9" s="61" t="s">
        <v>425</v>
      </c>
      <c r="AA9" s="61" t="s">
        <v>384</v>
      </c>
      <c r="AB9" s="61" t="s">
        <v>469</v>
      </c>
      <c r="AC9" s="61" t="s">
        <v>417</v>
      </c>
      <c r="AD9" s="61" t="s">
        <v>620</v>
      </c>
      <c r="AE9" s="61">
        <v>2</v>
      </c>
      <c r="AF9" s="61">
        <v>1</v>
      </c>
      <c r="AG9" s="61">
        <v>2</v>
      </c>
      <c r="AH9" s="61">
        <v>1</v>
      </c>
      <c r="AI9" s="61">
        <v>2</v>
      </c>
      <c r="AJ9" s="61">
        <v>2</v>
      </c>
      <c r="AK9" s="61">
        <f t="shared" si="0"/>
        <v>10</v>
      </c>
    </row>
    <row r="10" spans="1:37" s="49" customFormat="1" ht="126" x14ac:dyDescent="0.3">
      <c r="A10" s="50" t="s">
        <v>507</v>
      </c>
      <c r="B10" s="50" t="s">
        <v>532</v>
      </c>
      <c r="C10" s="50">
        <v>2023</v>
      </c>
      <c r="D10" s="50" t="s">
        <v>311</v>
      </c>
      <c r="E10" s="50"/>
      <c r="F10" s="50" t="s">
        <v>299</v>
      </c>
      <c r="G10" s="50" t="s">
        <v>368</v>
      </c>
      <c r="H10" s="50" t="s">
        <v>325</v>
      </c>
      <c r="I10" s="50" t="s">
        <v>335</v>
      </c>
      <c r="J10" s="61" t="s">
        <v>394</v>
      </c>
      <c r="K10" s="51" t="s">
        <v>475</v>
      </c>
      <c r="L10" s="51" t="s">
        <v>374</v>
      </c>
      <c r="M10" s="51" t="s">
        <v>395</v>
      </c>
      <c r="N10" s="51" t="s">
        <v>653</v>
      </c>
      <c r="O10" s="51" t="s">
        <v>664</v>
      </c>
      <c r="P10" s="51" t="s">
        <v>546</v>
      </c>
      <c r="Q10" s="51" t="s">
        <v>477</v>
      </c>
      <c r="R10" s="51" t="s">
        <v>413</v>
      </c>
      <c r="S10" s="51" t="s">
        <v>480</v>
      </c>
      <c r="T10" s="51" t="s">
        <v>430</v>
      </c>
      <c r="U10" s="51" t="s">
        <v>476</v>
      </c>
      <c r="V10" s="51" t="s">
        <v>481</v>
      </c>
      <c r="W10" s="51" t="s">
        <v>610</v>
      </c>
      <c r="X10" s="51" t="s">
        <v>479</v>
      </c>
      <c r="Y10" s="51" t="s">
        <v>396</v>
      </c>
      <c r="Z10" s="51" t="s">
        <v>478</v>
      </c>
      <c r="AA10" s="51" t="s">
        <v>384</v>
      </c>
      <c r="AB10" s="51" t="s">
        <v>397</v>
      </c>
      <c r="AC10" s="51" t="s">
        <v>398</v>
      </c>
      <c r="AD10" s="51" t="s">
        <v>621</v>
      </c>
      <c r="AE10" s="51">
        <v>2</v>
      </c>
      <c r="AF10" s="51">
        <v>2</v>
      </c>
      <c r="AG10" s="51">
        <v>1</v>
      </c>
      <c r="AH10" s="51">
        <v>2</v>
      </c>
      <c r="AI10" s="51">
        <v>2</v>
      </c>
      <c r="AJ10" s="51">
        <v>2</v>
      </c>
      <c r="AK10" s="51">
        <f t="shared" si="0"/>
        <v>11</v>
      </c>
    </row>
    <row r="11" spans="1:37" s="49" customFormat="1" ht="140" x14ac:dyDescent="0.3">
      <c r="A11" s="60" t="s">
        <v>508</v>
      </c>
      <c r="B11" s="50" t="s">
        <v>533</v>
      </c>
      <c r="C11" s="50">
        <v>2023</v>
      </c>
      <c r="D11" s="50" t="s">
        <v>305</v>
      </c>
      <c r="E11" s="50" t="s">
        <v>251</v>
      </c>
      <c r="F11" s="50" t="s">
        <v>292</v>
      </c>
      <c r="G11" s="50" t="s">
        <v>367</v>
      </c>
      <c r="H11" s="50" t="s">
        <v>318</v>
      </c>
      <c r="I11" s="50" t="s">
        <v>328</v>
      </c>
      <c r="J11" s="51" t="s">
        <v>76</v>
      </c>
      <c r="K11" s="51" t="s">
        <v>677</v>
      </c>
      <c r="L11" s="51" t="s">
        <v>374</v>
      </c>
      <c r="M11" s="51" t="s">
        <v>445</v>
      </c>
      <c r="N11" s="51" t="s">
        <v>654</v>
      </c>
      <c r="O11" s="51" t="s">
        <v>663</v>
      </c>
      <c r="P11" s="51" t="s">
        <v>547</v>
      </c>
      <c r="Q11" s="51" t="s">
        <v>492</v>
      </c>
      <c r="R11" s="51" t="s">
        <v>473</v>
      </c>
      <c r="S11" s="51" t="s">
        <v>388</v>
      </c>
      <c r="T11" s="51" t="s">
        <v>430</v>
      </c>
      <c r="U11" s="51" t="s">
        <v>485</v>
      </c>
      <c r="V11" s="51" t="s">
        <v>495</v>
      </c>
      <c r="W11" s="51" t="s">
        <v>615</v>
      </c>
      <c r="X11" s="51" t="s">
        <v>496</v>
      </c>
      <c r="Y11" s="51" t="s">
        <v>401</v>
      </c>
      <c r="Z11" s="51" t="s">
        <v>425</v>
      </c>
      <c r="AA11" s="51" t="s">
        <v>497</v>
      </c>
      <c r="AB11" s="51" t="s">
        <v>402</v>
      </c>
      <c r="AC11" s="51" t="s">
        <v>398</v>
      </c>
      <c r="AD11" s="51" t="s">
        <v>622</v>
      </c>
      <c r="AE11" s="51">
        <v>1</v>
      </c>
      <c r="AF11" s="51">
        <v>1</v>
      </c>
      <c r="AG11" s="51">
        <v>1</v>
      </c>
      <c r="AH11" s="51">
        <v>1</v>
      </c>
      <c r="AI11" s="51">
        <v>2</v>
      </c>
      <c r="AJ11" s="51">
        <v>1</v>
      </c>
      <c r="AK11" s="51">
        <f t="shared" si="0"/>
        <v>7</v>
      </c>
    </row>
    <row r="12" spans="1:37" s="68" customFormat="1" ht="140" x14ac:dyDescent="0.3">
      <c r="A12" s="50" t="s">
        <v>509</v>
      </c>
      <c r="B12" s="50" t="s">
        <v>534</v>
      </c>
      <c r="C12" s="69">
        <v>2023</v>
      </c>
      <c r="D12" s="50" t="s">
        <v>241</v>
      </c>
      <c r="E12" s="50" t="s">
        <v>342</v>
      </c>
      <c r="F12" s="69" t="s">
        <v>247</v>
      </c>
      <c r="G12" s="50" t="s">
        <v>369</v>
      </c>
      <c r="H12" s="53" t="s">
        <v>257</v>
      </c>
      <c r="I12" s="53" t="s">
        <v>263</v>
      </c>
      <c r="J12" s="50" t="s">
        <v>391</v>
      </c>
      <c r="K12" s="50" t="s">
        <v>372</v>
      </c>
      <c r="L12" s="51" t="s">
        <v>374</v>
      </c>
      <c r="M12" s="51" t="s">
        <v>498</v>
      </c>
      <c r="N12" s="51" t="s">
        <v>655</v>
      </c>
      <c r="O12" s="51" t="s">
        <v>659</v>
      </c>
      <c r="P12" s="51" t="s">
        <v>552</v>
      </c>
      <c r="Q12" s="50" t="s">
        <v>544</v>
      </c>
      <c r="R12" s="50" t="s">
        <v>519</v>
      </c>
      <c r="S12" s="50" t="s">
        <v>521</v>
      </c>
      <c r="T12" s="51" t="s">
        <v>520</v>
      </c>
      <c r="U12" s="50" t="s">
        <v>400</v>
      </c>
      <c r="V12" s="51" t="s">
        <v>548</v>
      </c>
      <c r="W12" s="51" t="s">
        <v>611</v>
      </c>
      <c r="X12" s="51" t="s">
        <v>569</v>
      </c>
      <c r="Y12" s="51" t="s">
        <v>545</v>
      </c>
      <c r="Z12" s="51" t="s">
        <v>425</v>
      </c>
      <c r="AA12" s="50" t="s">
        <v>384</v>
      </c>
      <c r="AB12" s="51" t="s">
        <v>522</v>
      </c>
      <c r="AC12" s="51" t="s">
        <v>543</v>
      </c>
      <c r="AD12" s="51" t="s">
        <v>623</v>
      </c>
      <c r="AE12" s="50">
        <v>1</v>
      </c>
      <c r="AF12" s="50">
        <v>1</v>
      </c>
      <c r="AG12" s="50">
        <v>1</v>
      </c>
      <c r="AH12" s="50">
        <v>1</v>
      </c>
      <c r="AI12" s="50">
        <v>1</v>
      </c>
      <c r="AJ12" s="50">
        <v>1</v>
      </c>
      <c r="AK12" s="50">
        <f t="shared" si="0"/>
        <v>6</v>
      </c>
    </row>
    <row r="13" spans="1:37" s="68" customFormat="1" ht="126" x14ac:dyDescent="0.3">
      <c r="A13" s="50" t="s">
        <v>510</v>
      </c>
      <c r="B13" s="50" t="s">
        <v>535</v>
      </c>
      <c r="C13" s="50">
        <v>2023</v>
      </c>
      <c r="D13" s="50" t="s">
        <v>240</v>
      </c>
      <c r="E13" s="50" t="s">
        <v>340</v>
      </c>
      <c r="F13" s="50" t="s">
        <v>246</v>
      </c>
      <c r="G13" s="50" t="s">
        <v>364</v>
      </c>
      <c r="H13" s="50" t="s">
        <v>256</v>
      </c>
      <c r="I13" s="50" t="s">
        <v>262</v>
      </c>
      <c r="J13" s="50" t="s">
        <v>391</v>
      </c>
      <c r="K13" s="50" t="s">
        <v>372</v>
      </c>
      <c r="L13" s="50" t="s">
        <v>374</v>
      </c>
      <c r="M13" s="50" t="s">
        <v>395</v>
      </c>
      <c r="N13" s="50"/>
      <c r="O13" s="51" t="s">
        <v>662</v>
      </c>
      <c r="P13" s="51" t="s">
        <v>556</v>
      </c>
      <c r="Q13" s="50" t="s">
        <v>553</v>
      </c>
      <c r="R13" s="50" t="s">
        <v>380</v>
      </c>
      <c r="S13" s="50" t="s">
        <v>555</v>
      </c>
      <c r="T13" s="51" t="s">
        <v>549</v>
      </c>
      <c r="U13" s="50" t="s">
        <v>439</v>
      </c>
      <c r="V13" s="51" t="s">
        <v>550</v>
      </c>
      <c r="W13" s="51" t="s">
        <v>672</v>
      </c>
      <c r="X13" s="51" t="s">
        <v>570</v>
      </c>
      <c r="Y13" s="51" t="s">
        <v>554</v>
      </c>
      <c r="Z13" s="51" t="s">
        <v>433</v>
      </c>
      <c r="AA13" s="50" t="s">
        <v>384</v>
      </c>
      <c r="AB13" s="51" t="s">
        <v>551</v>
      </c>
      <c r="AC13" s="50" t="s">
        <v>543</v>
      </c>
      <c r="AD13" s="51" t="s">
        <v>624</v>
      </c>
      <c r="AE13" s="50">
        <v>1</v>
      </c>
      <c r="AF13" s="50">
        <v>1</v>
      </c>
      <c r="AG13" s="50">
        <v>2</v>
      </c>
      <c r="AH13" s="50">
        <v>1</v>
      </c>
      <c r="AI13" s="50">
        <v>2</v>
      </c>
      <c r="AJ13" s="50">
        <v>1</v>
      </c>
      <c r="AK13" s="50">
        <f t="shared" si="0"/>
        <v>8</v>
      </c>
    </row>
    <row r="14" spans="1:37" s="49" customFormat="1" ht="112" x14ac:dyDescent="0.3">
      <c r="A14" s="60" t="s">
        <v>511</v>
      </c>
      <c r="B14" s="50" t="s">
        <v>536</v>
      </c>
      <c r="C14" s="50">
        <v>2025</v>
      </c>
      <c r="D14" s="50" t="s">
        <v>303</v>
      </c>
      <c r="E14" s="50" t="s">
        <v>254</v>
      </c>
      <c r="F14" s="50" t="s">
        <v>290</v>
      </c>
      <c r="G14" s="50"/>
      <c r="H14" s="50" t="s">
        <v>316</v>
      </c>
      <c r="I14" s="50" t="s">
        <v>326</v>
      </c>
      <c r="J14" s="51" t="s">
        <v>394</v>
      </c>
      <c r="K14" s="51" t="s">
        <v>605</v>
      </c>
      <c r="L14" s="51" t="s">
        <v>608</v>
      </c>
      <c r="M14" s="51" t="s">
        <v>403</v>
      </c>
      <c r="N14" s="51" t="s">
        <v>656</v>
      </c>
      <c r="O14" s="51" t="s">
        <v>661</v>
      </c>
      <c r="P14" s="51" t="s">
        <v>493</v>
      </c>
      <c r="Q14" s="51" t="s">
        <v>557</v>
      </c>
      <c r="R14" s="51" t="s">
        <v>380</v>
      </c>
      <c r="S14" s="51" t="s">
        <v>387</v>
      </c>
      <c r="T14" s="51" t="s">
        <v>404</v>
      </c>
      <c r="U14" s="51" t="s">
        <v>400</v>
      </c>
      <c r="V14" s="51" t="s">
        <v>558</v>
      </c>
      <c r="W14" s="51" t="s">
        <v>616</v>
      </c>
      <c r="X14" s="51" t="s">
        <v>559</v>
      </c>
      <c r="Y14" s="51" t="s">
        <v>405</v>
      </c>
      <c r="Z14" s="51" t="s">
        <v>425</v>
      </c>
      <c r="AA14" s="51" t="s">
        <v>378</v>
      </c>
      <c r="AB14" s="51" t="s">
        <v>406</v>
      </c>
      <c r="AC14" s="51" t="s">
        <v>383</v>
      </c>
      <c r="AD14" s="51" t="s">
        <v>625</v>
      </c>
      <c r="AE14" s="51">
        <v>2</v>
      </c>
      <c r="AF14" s="51">
        <v>2</v>
      </c>
      <c r="AG14" s="51">
        <v>1</v>
      </c>
      <c r="AH14" s="51">
        <v>1</v>
      </c>
      <c r="AI14" s="51">
        <v>1</v>
      </c>
      <c r="AJ14" s="51">
        <v>2</v>
      </c>
      <c r="AK14" s="51">
        <f t="shared" si="0"/>
        <v>9</v>
      </c>
    </row>
    <row r="15" spans="1:37" s="49" customFormat="1" ht="224" x14ac:dyDescent="0.3">
      <c r="A15" s="60" t="s">
        <v>512</v>
      </c>
      <c r="B15" s="50" t="s">
        <v>537</v>
      </c>
      <c r="C15" s="50">
        <v>2023</v>
      </c>
      <c r="D15" s="50" t="s">
        <v>301</v>
      </c>
      <c r="E15" s="50" t="s">
        <v>345</v>
      </c>
      <c r="F15" s="50" t="s">
        <v>287</v>
      </c>
      <c r="G15" s="50" t="s">
        <v>370</v>
      </c>
      <c r="H15" s="50" t="s">
        <v>313</v>
      </c>
      <c r="I15" s="50"/>
      <c r="J15" s="51" t="s">
        <v>391</v>
      </c>
      <c r="K15" s="51" t="s">
        <v>606</v>
      </c>
      <c r="L15" s="51" t="s">
        <v>374</v>
      </c>
      <c r="M15" s="51" t="s">
        <v>395</v>
      </c>
      <c r="N15" s="51" t="s">
        <v>654</v>
      </c>
      <c r="O15" s="51" t="s">
        <v>660</v>
      </c>
      <c r="P15" s="51" t="s">
        <v>494</v>
      </c>
      <c r="Q15" s="51" t="s">
        <v>568</v>
      </c>
      <c r="R15" s="51" t="s">
        <v>407</v>
      </c>
      <c r="S15" s="51" t="s">
        <v>408</v>
      </c>
      <c r="T15" s="51" t="s">
        <v>409</v>
      </c>
      <c r="U15" s="51" t="s">
        <v>680</v>
      </c>
      <c r="V15" s="51" t="s">
        <v>573</v>
      </c>
      <c r="W15" s="51" t="s">
        <v>617</v>
      </c>
      <c r="X15" s="51" t="s">
        <v>571</v>
      </c>
      <c r="Y15" s="51" t="s">
        <v>572</v>
      </c>
      <c r="Z15" s="51" t="s">
        <v>425</v>
      </c>
      <c r="AA15" s="51" t="s">
        <v>384</v>
      </c>
      <c r="AB15" s="51" t="s">
        <v>410</v>
      </c>
      <c r="AC15" s="51" t="s">
        <v>398</v>
      </c>
      <c r="AD15" s="51" t="s">
        <v>626</v>
      </c>
      <c r="AE15" s="51">
        <v>1</v>
      </c>
      <c r="AF15" s="51">
        <v>1</v>
      </c>
      <c r="AG15" s="51">
        <v>1</v>
      </c>
      <c r="AH15" s="51">
        <v>1</v>
      </c>
      <c r="AI15" s="51">
        <v>1</v>
      </c>
      <c r="AJ15" s="51">
        <v>1</v>
      </c>
      <c r="AK15" s="51">
        <f t="shared" si="0"/>
        <v>6</v>
      </c>
    </row>
    <row r="16" spans="1:37" s="68" customFormat="1" ht="126" x14ac:dyDescent="0.3">
      <c r="A16" s="60" t="s">
        <v>513</v>
      </c>
      <c r="B16" s="50" t="s">
        <v>538</v>
      </c>
      <c r="C16" s="50">
        <v>2022</v>
      </c>
      <c r="D16" s="50" t="s">
        <v>359</v>
      </c>
      <c r="E16" s="50" t="s">
        <v>347</v>
      </c>
      <c r="F16" s="50" t="s">
        <v>288</v>
      </c>
      <c r="G16" s="50" t="s">
        <v>371</v>
      </c>
      <c r="H16" s="50" t="s">
        <v>314</v>
      </c>
      <c r="I16" s="50"/>
      <c r="J16" s="50" t="s">
        <v>391</v>
      </c>
      <c r="K16" s="50" t="s">
        <v>372</v>
      </c>
      <c r="L16" s="50" t="s">
        <v>374</v>
      </c>
      <c r="M16" s="50" t="s">
        <v>395</v>
      </c>
      <c r="N16" s="50"/>
      <c r="O16" s="50"/>
      <c r="P16" s="50" t="s">
        <v>578</v>
      </c>
      <c r="Q16" s="50"/>
      <c r="R16" s="50" t="s">
        <v>380</v>
      </c>
      <c r="S16" s="51" t="s">
        <v>392</v>
      </c>
      <c r="T16" s="51" t="s">
        <v>579</v>
      </c>
      <c r="U16" s="51" t="s">
        <v>485</v>
      </c>
      <c r="V16" s="50" t="s">
        <v>580</v>
      </c>
      <c r="W16" s="51" t="s">
        <v>673</v>
      </c>
      <c r="X16" s="51" t="s">
        <v>582</v>
      </c>
      <c r="Y16" s="51" t="s">
        <v>581</v>
      </c>
      <c r="Z16" s="50" t="s">
        <v>425</v>
      </c>
      <c r="AA16" s="50" t="s">
        <v>384</v>
      </c>
      <c r="AB16" s="51" t="s">
        <v>583</v>
      </c>
      <c r="AC16" s="50" t="s">
        <v>398</v>
      </c>
      <c r="AD16" s="51" t="s">
        <v>627</v>
      </c>
      <c r="AE16" s="50">
        <v>2</v>
      </c>
      <c r="AF16" s="50">
        <v>2</v>
      </c>
      <c r="AG16" s="50">
        <v>1</v>
      </c>
      <c r="AH16" s="50">
        <v>2</v>
      </c>
      <c r="AI16" s="50">
        <v>2</v>
      </c>
      <c r="AJ16" s="50">
        <v>2</v>
      </c>
      <c r="AK16" s="50">
        <f t="shared" si="0"/>
        <v>11</v>
      </c>
    </row>
    <row r="17" spans="1:45" s="68" customFormat="1" ht="140" x14ac:dyDescent="0.3">
      <c r="A17" s="60" t="s">
        <v>514</v>
      </c>
      <c r="B17" s="50" t="s">
        <v>539</v>
      </c>
      <c r="C17" s="50">
        <v>2025</v>
      </c>
      <c r="D17" s="50" t="s">
        <v>310</v>
      </c>
      <c r="E17" s="50" t="s">
        <v>337</v>
      </c>
      <c r="F17" s="50" t="s">
        <v>298</v>
      </c>
      <c r="G17" s="50" t="s">
        <v>365</v>
      </c>
      <c r="H17" s="50" t="s">
        <v>324</v>
      </c>
      <c r="I17" s="50" t="s">
        <v>334</v>
      </c>
      <c r="J17" s="50" t="s">
        <v>76</v>
      </c>
      <c r="K17" s="50" t="s">
        <v>677</v>
      </c>
      <c r="L17" s="50" t="s">
        <v>374</v>
      </c>
      <c r="M17" s="50" t="s">
        <v>445</v>
      </c>
      <c r="N17" s="51" t="s">
        <v>657</v>
      </c>
      <c r="O17" s="51" t="s">
        <v>659</v>
      </c>
      <c r="P17" s="51" t="s">
        <v>412</v>
      </c>
      <c r="Q17" s="51"/>
      <c r="R17" s="50" t="s">
        <v>407</v>
      </c>
      <c r="S17" s="50" t="s">
        <v>676</v>
      </c>
      <c r="T17" s="51" t="s">
        <v>588</v>
      </c>
      <c r="U17" s="51" t="s">
        <v>679</v>
      </c>
      <c r="V17" s="51" t="s">
        <v>589</v>
      </c>
      <c r="W17" s="51" t="s">
        <v>618</v>
      </c>
      <c r="X17" s="51" t="s">
        <v>587</v>
      </c>
      <c r="Y17" s="51" t="s">
        <v>586</v>
      </c>
      <c r="Z17" s="50" t="s">
        <v>425</v>
      </c>
      <c r="AA17" s="50" t="s">
        <v>584</v>
      </c>
      <c r="AB17" s="51" t="s">
        <v>585</v>
      </c>
      <c r="AC17" s="50" t="s">
        <v>398</v>
      </c>
      <c r="AD17" s="51" t="s">
        <v>628</v>
      </c>
      <c r="AE17" s="50">
        <v>1</v>
      </c>
      <c r="AF17" s="50">
        <v>1</v>
      </c>
      <c r="AG17" s="50">
        <v>1</v>
      </c>
      <c r="AH17" s="50">
        <v>1</v>
      </c>
      <c r="AI17" s="50">
        <v>1</v>
      </c>
      <c r="AJ17" s="50">
        <v>0</v>
      </c>
      <c r="AK17" s="50">
        <f t="shared" si="0"/>
        <v>5</v>
      </c>
    </row>
    <row r="18" spans="1:45" s="49" customFormat="1" ht="112" x14ac:dyDescent="0.3">
      <c r="A18" s="60" t="s">
        <v>515</v>
      </c>
      <c r="B18" s="50" t="s">
        <v>540</v>
      </c>
      <c r="C18" s="50">
        <v>2024</v>
      </c>
      <c r="D18" s="50" t="s">
        <v>244</v>
      </c>
      <c r="E18" s="50" t="s">
        <v>341</v>
      </c>
      <c r="F18" s="50" t="s">
        <v>250</v>
      </c>
      <c r="G18" s="50"/>
      <c r="H18" s="50" t="s">
        <v>260</v>
      </c>
      <c r="I18" s="50"/>
      <c r="J18" s="51" t="s">
        <v>394</v>
      </c>
      <c r="K18" s="51" t="s">
        <v>606</v>
      </c>
      <c r="L18" s="51" t="s">
        <v>374</v>
      </c>
      <c r="M18" s="51" t="s">
        <v>395</v>
      </c>
      <c r="N18" s="51" t="s">
        <v>645</v>
      </c>
      <c r="O18" s="51" t="s">
        <v>659</v>
      </c>
      <c r="P18" s="51" t="s">
        <v>593</v>
      </c>
      <c r="Q18" s="51" t="s">
        <v>594</v>
      </c>
      <c r="R18" s="51" t="s">
        <v>441</v>
      </c>
      <c r="S18" s="51" t="s">
        <v>441</v>
      </c>
      <c r="T18" s="51" t="s">
        <v>430</v>
      </c>
      <c r="U18" s="51" t="s">
        <v>411</v>
      </c>
      <c r="V18" s="51" t="s">
        <v>590</v>
      </c>
      <c r="W18" s="51" t="s">
        <v>674</v>
      </c>
      <c r="X18" s="51" t="s">
        <v>591</v>
      </c>
      <c r="Y18" s="51" t="s">
        <v>592</v>
      </c>
      <c r="Z18" s="51" t="s">
        <v>428</v>
      </c>
      <c r="AA18" s="51" t="s">
        <v>378</v>
      </c>
      <c r="AB18" s="51" t="s">
        <v>443</v>
      </c>
      <c r="AC18" s="51" t="s">
        <v>398</v>
      </c>
      <c r="AD18" s="51" t="s">
        <v>629</v>
      </c>
      <c r="AE18" s="51">
        <v>2</v>
      </c>
      <c r="AF18" s="51">
        <v>2</v>
      </c>
      <c r="AG18" s="51">
        <v>1</v>
      </c>
      <c r="AH18" s="51">
        <v>2</v>
      </c>
      <c r="AI18" s="51">
        <v>2</v>
      </c>
      <c r="AJ18" s="51">
        <v>2</v>
      </c>
      <c r="AK18" s="51">
        <f t="shared" si="0"/>
        <v>11</v>
      </c>
    </row>
    <row r="19" spans="1:45" s="49" customFormat="1" ht="168" x14ac:dyDescent="0.3">
      <c r="A19" s="60" t="s">
        <v>516</v>
      </c>
      <c r="B19" s="50" t="s">
        <v>541</v>
      </c>
      <c r="C19" s="50">
        <v>2024</v>
      </c>
      <c r="D19" s="50" t="s">
        <v>358</v>
      </c>
      <c r="E19" s="50" t="s">
        <v>252</v>
      </c>
      <c r="F19" s="50" t="s">
        <v>295</v>
      </c>
      <c r="G19" s="50"/>
      <c r="H19" s="50" t="s">
        <v>321</v>
      </c>
      <c r="I19" s="50" t="s">
        <v>331</v>
      </c>
      <c r="J19" s="51" t="s">
        <v>394</v>
      </c>
      <c r="K19" s="51" t="s">
        <v>678</v>
      </c>
      <c r="L19" s="51" t="s">
        <v>374</v>
      </c>
      <c r="M19" s="51" t="s">
        <v>395</v>
      </c>
      <c r="N19" s="51" t="s">
        <v>653</v>
      </c>
      <c r="O19" s="51" t="s">
        <v>659</v>
      </c>
      <c r="P19" s="51" t="s">
        <v>493</v>
      </c>
      <c r="Q19" s="51" t="s">
        <v>597</v>
      </c>
      <c r="R19" s="51" t="s">
        <v>413</v>
      </c>
      <c r="S19" s="51" t="s">
        <v>598</v>
      </c>
      <c r="T19" s="51" t="s">
        <v>414</v>
      </c>
      <c r="U19" s="51" t="s">
        <v>400</v>
      </c>
      <c r="V19" s="51" t="s">
        <v>596</v>
      </c>
      <c r="W19" s="51" t="s">
        <v>612</v>
      </c>
      <c r="X19" s="51" t="s">
        <v>415</v>
      </c>
      <c r="Y19" s="51" t="s">
        <v>416</v>
      </c>
      <c r="Z19" s="51" t="s">
        <v>425</v>
      </c>
      <c r="AA19" s="51" t="s">
        <v>384</v>
      </c>
      <c r="AB19" s="51" t="s">
        <v>595</v>
      </c>
      <c r="AC19" s="51" t="s">
        <v>420</v>
      </c>
      <c r="AD19" s="51" t="s">
        <v>630</v>
      </c>
      <c r="AE19" s="51">
        <v>2</v>
      </c>
      <c r="AF19" s="51">
        <v>2</v>
      </c>
      <c r="AG19" s="51">
        <v>1</v>
      </c>
      <c r="AH19" s="51">
        <v>2</v>
      </c>
      <c r="AI19" s="51">
        <v>2</v>
      </c>
      <c r="AJ19" s="51">
        <v>2</v>
      </c>
      <c r="AK19" s="51">
        <f t="shared" si="0"/>
        <v>11</v>
      </c>
    </row>
    <row r="20" spans="1:45" s="49" customFormat="1" ht="170.5" x14ac:dyDescent="0.3">
      <c r="A20" s="50" t="s">
        <v>517</v>
      </c>
      <c r="B20" s="50" t="s">
        <v>542</v>
      </c>
      <c r="C20" s="50">
        <v>2024</v>
      </c>
      <c r="D20" s="50" t="s">
        <v>308</v>
      </c>
      <c r="E20" s="50" t="s">
        <v>348</v>
      </c>
      <c r="F20" s="50" t="s">
        <v>296</v>
      </c>
      <c r="G20" s="50"/>
      <c r="H20" s="50" t="s">
        <v>322</v>
      </c>
      <c r="I20" s="71" t="s">
        <v>332</v>
      </c>
      <c r="J20" s="51" t="s">
        <v>76</v>
      </c>
      <c r="K20" s="51" t="s">
        <v>677</v>
      </c>
      <c r="L20" s="51" t="s">
        <v>374</v>
      </c>
      <c r="M20" s="51" t="s">
        <v>445</v>
      </c>
      <c r="N20" s="51" t="s">
        <v>648</v>
      </c>
      <c r="O20" s="51" t="s">
        <v>658</v>
      </c>
      <c r="P20" s="51" t="s">
        <v>493</v>
      </c>
      <c r="Q20" s="51" t="s">
        <v>597</v>
      </c>
      <c r="R20" s="51" t="s">
        <v>418</v>
      </c>
      <c r="S20" s="51" t="s">
        <v>600</v>
      </c>
      <c r="T20" s="51" t="s">
        <v>601</v>
      </c>
      <c r="U20" s="51" t="s">
        <v>429</v>
      </c>
      <c r="V20" s="51" t="s">
        <v>602</v>
      </c>
      <c r="W20" s="51" t="s">
        <v>612</v>
      </c>
      <c r="X20" s="51" t="s">
        <v>603</v>
      </c>
      <c r="Y20" s="51" t="s">
        <v>604</v>
      </c>
      <c r="Z20" s="51" t="s">
        <v>425</v>
      </c>
      <c r="AA20" s="51" t="s">
        <v>384</v>
      </c>
      <c r="AB20" s="51" t="s">
        <v>419</v>
      </c>
      <c r="AC20" s="51" t="s">
        <v>398</v>
      </c>
      <c r="AD20" s="51" t="s">
        <v>631</v>
      </c>
      <c r="AE20" s="51">
        <v>2</v>
      </c>
      <c r="AF20" s="51">
        <v>2</v>
      </c>
      <c r="AG20" s="51">
        <v>1</v>
      </c>
      <c r="AH20" s="51">
        <v>2</v>
      </c>
      <c r="AI20" s="51">
        <v>2</v>
      </c>
      <c r="AJ20" s="51">
        <v>2</v>
      </c>
      <c r="AK20" s="51">
        <f t="shared" si="0"/>
        <v>11</v>
      </c>
    </row>
    <row r="23" spans="1:45" x14ac:dyDescent="0.3">
      <c r="B23" s="56"/>
      <c r="C23" s="56"/>
      <c r="D23" s="56"/>
      <c r="E23" s="57"/>
      <c r="F23" s="56"/>
      <c r="G23" s="56"/>
      <c r="H23" s="56"/>
      <c r="I23" s="56"/>
      <c r="J23" s="58"/>
      <c r="K23" s="59"/>
      <c r="L23" s="58"/>
      <c r="M23" s="59"/>
      <c r="N23" s="58"/>
      <c r="O23" s="59"/>
      <c r="P23" s="58"/>
      <c r="Q23" s="59"/>
      <c r="R23" s="59"/>
      <c r="S23" s="59"/>
      <c r="T23" s="58"/>
      <c r="U23" s="59"/>
      <c r="V23" s="58"/>
      <c r="W23" s="59"/>
      <c r="X23" s="58"/>
      <c r="Y23" s="59"/>
      <c r="Z23" s="59"/>
      <c r="AA23" s="58"/>
      <c r="AB23" s="59"/>
      <c r="AC23" s="58"/>
      <c r="AD23" s="59"/>
      <c r="AE23" s="58"/>
      <c r="AF23" s="59"/>
      <c r="AG23" s="58"/>
      <c r="AH23" s="59"/>
      <c r="AI23" s="58"/>
      <c r="AJ23" s="59"/>
      <c r="AK23" s="58"/>
      <c r="AL23" s="59"/>
      <c r="AM23" s="59"/>
      <c r="AN23" s="59"/>
      <c r="AO23" s="59"/>
      <c r="AP23" s="59"/>
      <c r="AQ23" s="59"/>
      <c r="AR23" s="59"/>
      <c r="AS23" s="59"/>
    </row>
    <row r="24" spans="1:45" x14ac:dyDescent="0.3">
      <c r="B24" s="56"/>
      <c r="C24" s="56"/>
      <c r="D24" s="56"/>
      <c r="E24" s="56"/>
      <c r="F24" s="56"/>
      <c r="G24" s="56"/>
      <c r="H24" s="56"/>
      <c r="I24" s="56"/>
      <c r="J24" s="58"/>
      <c r="K24" s="59"/>
      <c r="L24" s="58"/>
      <c r="M24" s="59"/>
      <c r="N24" s="58"/>
      <c r="O24" s="59"/>
      <c r="P24" s="58"/>
      <c r="Q24" s="59"/>
      <c r="R24" s="59"/>
      <c r="S24" s="59"/>
      <c r="T24" s="58"/>
      <c r="U24" s="59"/>
      <c r="V24" s="58"/>
      <c r="W24" s="59"/>
      <c r="X24" s="58"/>
      <c r="Y24" s="59"/>
      <c r="Z24" s="59"/>
      <c r="AA24" s="58"/>
      <c r="AB24" s="59"/>
      <c r="AC24" s="58"/>
      <c r="AD24" s="59"/>
      <c r="AE24" s="58"/>
      <c r="AF24" s="59"/>
      <c r="AG24" s="58"/>
      <c r="AH24" s="59"/>
      <c r="AI24" s="58"/>
      <c r="AJ24" s="59"/>
      <c r="AK24" s="58"/>
      <c r="AL24" s="59"/>
      <c r="AM24" s="59"/>
      <c r="AN24" s="59"/>
      <c r="AO24" s="59"/>
      <c r="AP24" s="59"/>
      <c r="AQ24" s="59"/>
      <c r="AR24" s="59"/>
      <c r="AS24" s="59"/>
    </row>
    <row r="25" spans="1:45" x14ac:dyDescent="0.3">
      <c r="B25" s="56"/>
      <c r="C25" s="56"/>
      <c r="D25" s="56"/>
      <c r="E25" s="57"/>
      <c r="F25" s="56"/>
      <c r="G25" s="56"/>
      <c r="H25" s="56"/>
      <c r="I25" s="56"/>
      <c r="J25" s="58"/>
      <c r="K25" s="59"/>
      <c r="L25" s="58"/>
      <c r="M25" s="59"/>
      <c r="N25" s="58"/>
      <c r="O25" s="59"/>
      <c r="P25" s="58"/>
      <c r="Q25" s="59"/>
      <c r="R25" s="59"/>
      <c r="S25" s="59"/>
      <c r="T25" s="58"/>
      <c r="U25" s="59"/>
      <c r="V25" s="58"/>
      <c r="W25" s="59"/>
      <c r="X25" s="58"/>
      <c r="Y25" s="59"/>
      <c r="Z25" s="59"/>
      <c r="AA25" s="58"/>
      <c r="AB25" s="59"/>
      <c r="AC25" s="58"/>
      <c r="AD25" s="59"/>
      <c r="AE25" s="58"/>
      <c r="AF25" s="59"/>
      <c r="AG25" s="58"/>
      <c r="AH25" s="59"/>
      <c r="AI25" s="58"/>
      <c r="AJ25" s="59"/>
      <c r="AK25" s="58"/>
      <c r="AL25" s="59"/>
      <c r="AM25" s="59"/>
      <c r="AN25" s="59"/>
      <c r="AO25" s="59"/>
      <c r="AP25" s="59"/>
      <c r="AQ25" s="59"/>
      <c r="AR25" s="59"/>
      <c r="AS25" s="59"/>
    </row>
    <row r="26" spans="1:45" x14ac:dyDescent="0.3">
      <c r="B26" s="56"/>
      <c r="C26" s="56"/>
      <c r="D26" s="56"/>
      <c r="E26" s="56"/>
      <c r="F26" s="56"/>
      <c r="G26" s="56"/>
      <c r="H26" s="56"/>
      <c r="I26" s="56"/>
      <c r="J26" s="58"/>
      <c r="K26" s="59"/>
      <c r="L26" s="58"/>
      <c r="M26" s="59"/>
      <c r="N26" s="58"/>
      <c r="O26" s="59"/>
      <c r="P26" s="58"/>
      <c r="Q26" s="59"/>
      <c r="R26" s="59"/>
      <c r="S26" s="59"/>
      <c r="T26" s="58"/>
      <c r="U26" s="59"/>
      <c r="V26" s="58"/>
      <c r="W26" s="59"/>
      <c r="X26" s="58"/>
      <c r="Y26" s="59"/>
      <c r="Z26" s="59"/>
      <c r="AA26" s="58"/>
      <c r="AB26" s="59"/>
      <c r="AC26" s="58"/>
      <c r="AD26" s="59"/>
      <c r="AE26" s="58"/>
      <c r="AF26" s="59"/>
      <c r="AG26" s="58"/>
      <c r="AH26" s="59"/>
      <c r="AI26" s="58"/>
      <c r="AJ26" s="59"/>
      <c r="AK26" s="58"/>
      <c r="AL26" s="59"/>
      <c r="AM26" s="59"/>
      <c r="AN26" s="59"/>
      <c r="AO26" s="59"/>
      <c r="AP26" s="59"/>
      <c r="AQ26" s="59"/>
      <c r="AR26" s="59"/>
      <c r="AS26" s="59"/>
    </row>
    <row r="27" spans="1:45" x14ac:dyDescent="0.3">
      <c r="B27" s="56"/>
      <c r="C27" s="56"/>
      <c r="D27" s="56"/>
      <c r="E27" s="56"/>
      <c r="F27" s="56"/>
      <c r="G27" s="56"/>
      <c r="H27" s="56"/>
      <c r="I27" s="56"/>
      <c r="J27" s="58"/>
      <c r="K27" s="59"/>
      <c r="L27" s="58"/>
      <c r="M27" s="59"/>
      <c r="N27" s="58"/>
      <c r="O27" s="59"/>
      <c r="P27" s="58"/>
      <c r="Q27" s="59"/>
      <c r="R27" s="59"/>
      <c r="S27" s="59"/>
      <c r="T27" s="58"/>
      <c r="U27" s="59"/>
      <c r="V27" s="58"/>
      <c r="W27" s="59"/>
      <c r="X27" s="58"/>
      <c r="Y27" s="59"/>
      <c r="Z27" s="59"/>
      <c r="AA27" s="58"/>
      <c r="AB27" s="59"/>
      <c r="AC27" s="58"/>
      <c r="AD27" s="59"/>
      <c r="AE27" s="58"/>
      <c r="AF27" s="59"/>
      <c r="AG27" s="58"/>
      <c r="AH27" s="59"/>
      <c r="AI27" s="58"/>
      <c r="AJ27" s="59"/>
      <c r="AK27" s="58"/>
      <c r="AL27" s="59"/>
      <c r="AM27" s="59"/>
      <c r="AN27" s="59"/>
      <c r="AO27" s="59"/>
      <c r="AP27" s="59"/>
      <c r="AQ27" s="59"/>
      <c r="AR27" s="59"/>
      <c r="AS27" s="59"/>
    </row>
    <row r="28" spans="1:45" x14ac:dyDescent="0.3">
      <c r="B28" s="56"/>
      <c r="C28" s="56"/>
      <c r="D28" s="56"/>
      <c r="E28" s="57"/>
      <c r="F28" s="56"/>
      <c r="G28" s="56"/>
      <c r="H28" s="56"/>
      <c r="I28" s="56"/>
      <c r="J28" s="58"/>
      <c r="K28" s="59"/>
      <c r="L28" s="58"/>
      <c r="M28" s="59"/>
      <c r="N28" s="58"/>
      <c r="O28" s="59"/>
      <c r="P28" s="58"/>
      <c r="Q28" s="59"/>
      <c r="R28" s="59"/>
      <c r="S28" s="59"/>
      <c r="T28" s="58"/>
      <c r="U28" s="59"/>
      <c r="V28" s="58"/>
      <c r="W28" s="59"/>
      <c r="X28" s="58"/>
      <c r="Y28" s="59"/>
      <c r="Z28" s="59"/>
      <c r="AA28" s="58"/>
      <c r="AB28" s="59"/>
      <c r="AC28" s="58"/>
      <c r="AD28" s="59"/>
      <c r="AE28" s="58"/>
      <c r="AF28" s="59"/>
      <c r="AG28" s="58"/>
      <c r="AH28" s="59"/>
      <c r="AI28" s="58"/>
      <c r="AJ28" s="59"/>
      <c r="AK28" s="58"/>
      <c r="AL28" s="59"/>
      <c r="AM28" s="59"/>
      <c r="AN28" s="59"/>
      <c r="AO28" s="59"/>
      <c r="AP28" s="59"/>
      <c r="AQ28" s="59"/>
      <c r="AR28" s="59"/>
      <c r="AS28" s="59"/>
    </row>
    <row r="29" spans="1:45" x14ac:dyDescent="0.3">
      <c r="B29" s="56"/>
      <c r="C29" s="56"/>
      <c r="D29" s="56"/>
      <c r="E29" s="56"/>
      <c r="F29" s="56"/>
      <c r="G29" s="56"/>
      <c r="H29" s="56"/>
      <c r="I29" s="56"/>
      <c r="J29" s="58"/>
      <c r="K29" s="59"/>
      <c r="L29" s="58"/>
      <c r="M29" s="59"/>
      <c r="N29" s="58"/>
      <c r="O29" s="59"/>
      <c r="P29" s="58"/>
      <c r="Q29" s="59"/>
      <c r="R29" s="59"/>
      <c r="S29" s="59"/>
      <c r="T29" s="58"/>
      <c r="U29" s="59"/>
      <c r="V29" s="58"/>
      <c r="W29" s="59"/>
      <c r="X29" s="58"/>
      <c r="Y29" s="59"/>
      <c r="Z29" s="59"/>
      <c r="AA29" s="58"/>
      <c r="AB29" s="59"/>
      <c r="AC29" s="58"/>
      <c r="AD29" s="59"/>
      <c r="AE29" s="58"/>
      <c r="AF29" s="59"/>
      <c r="AG29" s="58"/>
      <c r="AH29" s="59"/>
      <c r="AI29" s="58"/>
      <c r="AJ29" s="59"/>
      <c r="AK29" s="58"/>
      <c r="AL29" s="59"/>
      <c r="AM29" s="59"/>
      <c r="AN29" s="59"/>
      <c r="AO29" s="59"/>
      <c r="AP29" s="59"/>
      <c r="AQ29" s="59"/>
      <c r="AR29" s="59"/>
      <c r="AS29" s="59"/>
    </row>
    <row r="30" spans="1:45" x14ac:dyDescent="0.3">
      <c r="B30" s="56"/>
      <c r="C30" s="56"/>
      <c r="D30" s="56"/>
      <c r="E30" s="57"/>
      <c r="F30" s="56"/>
      <c r="G30" s="56"/>
      <c r="H30" s="56"/>
      <c r="I30" s="56"/>
      <c r="J30" s="58"/>
      <c r="K30" s="59"/>
      <c r="L30" s="58"/>
      <c r="M30" s="59"/>
      <c r="N30" s="58"/>
      <c r="O30" s="59"/>
      <c r="P30" s="58"/>
      <c r="Q30" s="59"/>
      <c r="R30" s="59"/>
      <c r="S30" s="59"/>
      <c r="T30" s="58"/>
      <c r="U30" s="59"/>
      <c r="V30" s="58"/>
      <c r="W30" s="59"/>
      <c r="X30" s="58"/>
      <c r="Y30" s="59"/>
      <c r="Z30" s="59"/>
      <c r="AA30" s="58"/>
      <c r="AB30" s="59"/>
      <c r="AC30" s="58"/>
      <c r="AD30" s="59"/>
      <c r="AE30" s="58"/>
      <c r="AF30" s="59"/>
      <c r="AG30" s="58"/>
      <c r="AH30" s="59"/>
      <c r="AI30" s="58"/>
      <c r="AJ30" s="59"/>
      <c r="AK30" s="58"/>
      <c r="AL30" s="59"/>
      <c r="AM30" s="59"/>
      <c r="AN30" s="59"/>
      <c r="AO30" s="59"/>
      <c r="AP30" s="59"/>
      <c r="AQ30" s="59"/>
      <c r="AR30" s="59"/>
      <c r="AS30" s="59"/>
    </row>
    <row r="31" spans="1:45" x14ac:dyDescent="0.3">
      <c r="B31" s="56"/>
      <c r="C31" s="56"/>
      <c r="D31" s="56"/>
      <c r="E31" s="56"/>
      <c r="F31" s="56"/>
      <c r="G31" s="56"/>
      <c r="H31" s="56"/>
      <c r="I31" s="56"/>
      <c r="J31" s="58"/>
      <c r="K31" s="59"/>
      <c r="L31" s="58"/>
      <c r="M31" s="59"/>
      <c r="N31" s="58"/>
      <c r="O31" s="59"/>
      <c r="P31" s="58"/>
      <c r="Q31" s="59"/>
      <c r="R31" s="59"/>
      <c r="S31" s="59"/>
      <c r="T31" s="58"/>
      <c r="U31" s="59"/>
      <c r="V31" s="58"/>
      <c r="W31" s="59"/>
      <c r="X31" s="58"/>
      <c r="Y31" s="59"/>
      <c r="Z31" s="59"/>
      <c r="AA31" s="58"/>
      <c r="AB31" s="59"/>
      <c r="AC31" s="58"/>
      <c r="AD31" s="59"/>
      <c r="AE31" s="58"/>
      <c r="AF31" s="59"/>
      <c r="AG31" s="58"/>
      <c r="AH31" s="59"/>
      <c r="AI31" s="58"/>
      <c r="AJ31" s="59"/>
      <c r="AK31" s="58"/>
      <c r="AL31" s="59"/>
      <c r="AM31" s="59"/>
      <c r="AN31" s="59"/>
      <c r="AO31" s="59"/>
      <c r="AP31" s="59"/>
      <c r="AQ31" s="59"/>
      <c r="AR31" s="59"/>
      <c r="AS31" s="59"/>
    </row>
    <row r="32" spans="1:45" x14ac:dyDescent="0.3">
      <c r="B32" s="56"/>
      <c r="C32" s="56"/>
      <c r="D32" s="56"/>
      <c r="E32" s="56"/>
      <c r="F32" s="56"/>
      <c r="G32" s="56"/>
      <c r="H32" s="56"/>
      <c r="I32" s="56"/>
      <c r="J32" s="58"/>
      <c r="K32" s="59"/>
      <c r="L32" s="58"/>
      <c r="M32" s="59"/>
      <c r="N32" s="58"/>
      <c r="O32" s="59"/>
      <c r="P32" s="58"/>
      <c r="Q32" s="59"/>
      <c r="R32" s="59"/>
      <c r="S32" s="59"/>
      <c r="T32" s="58"/>
      <c r="U32" s="59"/>
      <c r="V32" s="58"/>
      <c r="W32" s="59"/>
      <c r="X32" s="58"/>
      <c r="Y32" s="59"/>
      <c r="Z32" s="59"/>
      <c r="AA32" s="58"/>
      <c r="AB32" s="59"/>
      <c r="AC32" s="58"/>
      <c r="AD32" s="59"/>
      <c r="AE32" s="58"/>
      <c r="AF32" s="59"/>
      <c r="AG32" s="58"/>
      <c r="AH32" s="59"/>
      <c r="AI32" s="58"/>
      <c r="AJ32" s="59"/>
      <c r="AK32" s="58"/>
      <c r="AL32" s="59"/>
      <c r="AM32" s="59"/>
      <c r="AN32" s="59"/>
      <c r="AO32" s="59"/>
      <c r="AP32" s="59"/>
      <c r="AQ32" s="59"/>
      <c r="AR32" s="59"/>
      <c r="AS32" s="59"/>
    </row>
    <row r="33" spans="2:45" x14ac:dyDescent="0.3">
      <c r="B33" s="56"/>
      <c r="C33" s="56"/>
      <c r="D33" s="56"/>
      <c r="E33" s="56"/>
      <c r="F33" s="56"/>
      <c r="G33" s="56"/>
      <c r="H33" s="56"/>
      <c r="I33" s="56"/>
      <c r="J33" s="58"/>
      <c r="K33" s="59"/>
      <c r="L33" s="58"/>
      <c r="M33" s="59"/>
      <c r="N33" s="58"/>
      <c r="O33" s="59"/>
      <c r="P33" s="58"/>
      <c r="Q33" s="59"/>
      <c r="R33" s="59"/>
      <c r="S33" s="59"/>
      <c r="T33" s="58"/>
      <c r="U33" s="59"/>
      <c r="V33" s="58"/>
      <c r="W33" s="59"/>
      <c r="X33" s="58"/>
      <c r="Y33" s="59"/>
      <c r="Z33" s="59"/>
      <c r="AA33" s="58"/>
      <c r="AB33" s="59"/>
      <c r="AC33" s="58"/>
      <c r="AD33" s="59"/>
      <c r="AE33" s="58"/>
      <c r="AF33" s="59"/>
      <c r="AG33" s="58"/>
      <c r="AH33" s="59"/>
      <c r="AI33" s="58"/>
      <c r="AJ33" s="59"/>
      <c r="AK33" s="58"/>
      <c r="AL33" s="59"/>
      <c r="AM33" s="59"/>
      <c r="AN33" s="59"/>
      <c r="AO33" s="59"/>
      <c r="AP33" s="59"/>
      <c r="AQ33" s="59"/>
      <c r="AR33" s="59"/>
      <c r="AS33" s="59"/>
    </row>
    <row r="34" spans="2:45" x14ac:dyDescent="0.3">
      <c r="B34" s="56"/>
      <c r="C34" s="56"/>
      <c r="D34" s="56"/>
      <c r="E34" s="57"/>
      <c r="F34" s="56"/>
      <c r="G34" s="56"/>
      <c r="H34" s="56"/>
      <c r="I34" s="56"/>
      <c r="J34" s="58"/>
      <c r="K34" s="59"/>
      <c r="L34" s="58"/>
      <c r="M34" s="59"/>
      <c r="N34" s="58"/>
      <c r="O34" s="59"/>
      <c r="P34" s="58"/>
      <c r="Q34" s="59"/>
      <c r="R34" s="59"/>
      <c r="S34" s="59"/>
      <c r="T34" s="58"/>
      <c r="U34" s="59"/>
      <c r="V34" s="58"/>
      <c r="W34" s="59"/>
      <c r="X34" s="58"/>
      <c r="Y34" s="59"/>
      <c r="Z34" s="59"/>
      <c r="AA34" s="58"/>
      <c r="AB34" s="59"/>
      <c r="AC34" s="58"/>
      <c r="AD34" s="59"/>
      <c r="AE34" s="58"/>
      <c r="AF34" s="59"/>
      <c r="AG34" s="58"/>
      <c r="AH34" s="59"/>
      <c r="AI34" s="58"/>
      <c r="AJ34" s="59"/>
      <c r="AK34" s="58"/>
      <c r="AL34" s="59"/>
      <c r="AM34" s="59"/>
      <c r="AN34" s="59"/>
      <c r="AO34" s="59"/>
      <c r="AP34" s="59"/>
      <c r="AQ34" s="59"/>
      <c r="AR34" s="59"/>
      <c r="AS34" s="59"/>
    </row>
    <row r="35" spans="2:45" x14ac:dyDescent="0.3">
      <c r="B35" s="56"/>
      <c r="C35" s="56"/>
      <c r="D35" s="56"/>
      <c r="E35" s="56"/>
      <c r="F35" s="56"/>
      <c r="G35" s="56"/>
      <c r="H35" s="56"/>
      <c r="I35" s="56"/>
      <c r="J35" s="58"/>
      <c r="K35" s="59"/>
      <c r="L35" s="58"/>
      <c r="M35" s="59"/>
      <c r="N35" s="58"/>
      <c r="O35" s="59"/>
      <c r="P35" s="58"/>
      <c r="Q35" s="59"/>
      <c r="R35" s="59"/>
      <c r="S35" s="59"/>
      <c r="T35" s="58"/>
      <c r="U35" s="59"/>
      <c r="V35" s="58"/>
      <c r="W35" s="59"/>
      <c r="X35" s="58"/>
      <c r="Y35" s="59"/>
      <c r="Z35" s="59"/>
      <c r="AA35" s="58"/>
      <c r="AB35" s="59"/>
      <c r="AC35" s="58"/>
      <c r="AD35" s="59"/>
      <c r="AE35" s="58"/>
      <c r="AF35" s="59"/>
      <c r="AG35" s="58"/>
      <c r="AH35" s="59"/>
      <c r="AI35" s="58"/>
      <c r="AJ35" s="59"/>
      <c r="AK35" s="58"/>
      <c r="AL35" s="59"/>
      <c r="AM35" s="59"/>
      <c r="AN35" s="59"/>
      <c r="AO35" s="59"/>
      <c r="AP35" s="59"/>
      <c r="AQ35" s="59"/>
      <c r="AR35" s="59"/>
      <c r="AS35" s="59"/>
    </row>
    <row r="36" spans="2:45" x14ac:dyDescent="0.3">
      <c r="B36" s="56"/>
      <c r="C36" s="56"/>
      <c r="D36" s="56"/>
      <c r="E36" s="57"/>
      <c r="F36" s="56"/>
      <c r="G36" s="56"/>
      <c r="H36" s="56"/>
      <c r="I36" s="56"/>
      <c r="J36" s="58"/>
      <c r="K36" s="59"/>
      <c r="L36" s="58"/>
      <c r="M36" s="59"/>
      <c r="N36" s="58"/>
      <c r="O36" s="59"/>
      <c r="P36" s="58"/>
      <c r="Q36" s="59"/>
      <c r="R36" s="59"/>
      <c r="S36" s="59"/>
      <c r="T36" s="58"/>
      <c r="U36" s="59"/>
      <c r="V36" s="58"/>
      <c r="W36" s="59"/>
      <c r="X36" s="58"/>
      <c r="Y36" s="59"/>
      <c r="Z36" s="59"/>
      <c r="AA36" s="58"/>
      <c r="AB36" s="59"/>
      <c r="AC36" s="58"/>
      <c r="AD36" s="59"/>
      <c r="AE36" s="58"/>
      <c r="AF36" s="59"/>
      <c r="AG36" s="58"/>
      <c r="AH36" s="59"/>
      <c r="AI36" s="58"/>
      <c r="AJ36" s="59"/>
      <c r="AK36" s="58"/>
      <c r="AL36" s="59"/>
      <c r="AM36" s="59"/>
      <c r="AN36" s="59"/>
      <c r="AO36" s="59"/>
      <c r="AP36" s="59"/>
      <c r="AQ36" s="59"/>
      <c r="AR36" s="59"/>
      <c r="AS36" s="59"/>
    </row>
    <row r="37" spans="2:45" x14ac:dyDescent="0.3">
      <c r="B37" s="56"/>
      <c r="C37" s="56"/>
      <c r="D37" s="56"/>
      <c r="E37" s="57"/>
      <c r="F37" s="56"/>
      <c r="G37" s="56"/>
      <c r="H37" s="56"/>
      <c r="I37" s="56"/>
      <c r="J37" s="58"/>
      <c r="K37" s="59"/>
      <c r="L37" s="58"/>
      <c r="M37" s="59"/>
      <c r="N37" s="58"/>
      <c r="O37" s="59"/>
      <c r="P37" s="58"/>
      <c r="Q37" s="59"/>
      <c r="R37" s="59"/>
      <c r="S37" s="59"/>
      <c r="T37" s="58"/>
      <c r="U37" s="59"/>
      <c r="V37" s="58"/>
      <c r="W37" s="59"/>
      <c r="X37" s="58"/>
      <c r="Y37" s="59"/>
      <c r="Z37" s="59"/>
      <c r="AA37" s="58"/>
      <c r="AB37" s="59"/>
      <c r="AC37" s="58"/>
      <c r="AD37" s="59"/>
      <c r="AE37" s="58"/>
      <c r="AF37" s="59"/>
      <c r="AG37" s="58"/>
      <c r="AH37" s="59"/>
      <c r="AI37" s="58"/>
      <c r="AJ37" s="59"/>
      <c r="AK37" s="58"/>
      <c r="AL37" s="59"/>
      <c r="AM37" s="59"/>
      <c r="AN37" s="59"/>
      <c r="AO37" s="59"/>
      <c r="AP37" s="59"/>
      <c r="AQ37" s="59"/>
      <c r="AR37" s="59"/>
      <c r="AS37" s="59"/>
    </row>
    <row r="38" spans="2:45" x14ac:dyDescent="0.3">
      <c r="B38" s="56"/>
      <c r="C38" s="56"/>
      <c r="D38" s="56"/>
      <c r="E38" s="57"/>
      <c r="F38" s="56"/>
      <c r="G38" s="56"/>
      <c r="H38" s="56"/>
      <c r="I38" s="56"/>
      <c r="J38" s="58"/>
      <c r="K38" s="59"/>
      <c r="L38" s="58"/>
      <c r="M38" s="59"/>
      <c r="N38" s="58"/>
      <c r="O38" s="59"/>
      <c r="P38" s="58"/>
      <c r="Q38" s="59"/>
      <c r="R38" s="59"/>
      <c r="S38" s="59"/>
      <c r="T38" s="58"/>
      <c r="U38" s="59"/>
      <c r="V38" s="58"/>
      <c r="W38" s="59"/>
      <c r="X38" s="58"/>
      <c r="Y38" s="59"/>
      <c r="Z38" s="59"/>
      <c r="AA38" s="58"/>
      <c r="AB38" s="59"/>
      <c r="AC38" s="58"/>
      <c r="AD38" s="59"/>
      <c r="AE38" s="58"/>
      <c r="AF38" s="59"/>
      <c r="AG38" s="58"/>
      <c r="AH38" s="59"/>
      <c r="AI38" s="58"/>
      <c r="AJ38" s="59"/>
      <c r="AK38" s="58"/>
      <c r="AL38" s="59"/>
      <c r="AM38" s="59"/>
      <c r="AN38" s="59"/>
      <c r="AO38" s="59"/>
      <c r="AP38" s="59"/>
      <c r="AQ38" s="59"/>
      <c r="AR38" s="59"/>
      <c r="AS38" s="59"/>
    </row>
    <row r="39" spans="2:45" x14ac:dyDescent="0.3">
      <c r="B39" s="56"/>
      <c r="C39" s="56"/>
      <c r="D39" s="56"/>
      <c r="E39" s="57"/>
      <c r="F39" s="56"/>
      <c r="G39" s="56"/>
      <c r="H39" s="56"/>
      <c r="I39" s="56"/>
      <c r="J39" s="58"/>
      <c r="K39" s="59"/>
      <c r="L39" s="58"/>
      <c r="M39" s="59"/>
      <c r="N39" s="58"/>
      <c r="O39" s="59"/>
      <c r="P39" s="58"/>
      <c r="Q39" s="59"/>
      <c r="R39" s="59"/>
      <c r="S39" s="59"/>
      <c r="T39" s="58"/>
      <c r="U39" s="59"/>
      <c r="V39" s="58"/>
      <c r="W39" s="59"/>
      <c r="X39" s="58"/>
      <c r="Y39" s="59"/>
      <c r="Z39" s="59"/>
      <c r="AA39" s="58"/>
      <c r="AB39" s="59"/>
      <c r="AC39" s="58"/>
      <c r="AD39" s="59"/>
      <c r="AE39" s="58"/>
      <c r="AF39" s="59"/>
      <c r="AG39" s="58"/>
      <c r="AH39" s="59"/>
      <c r="AI39" s="58"/>
      <c r="AJ39" s="59"/>
      <c r="AK39" s="58"/>
      <c r="AL39" s="59"/>
      <c r="AM39" s="59"/>
      <c r="AN39" s="59"/>
      <c r="AO39" s="59"/>
      <c r="AP39" s="59"/>
      <c r="AQ39" s="59"/>
      <c r="AR39" s="59"/>
      <c r="AS39" s="59"/>
    </row>
    <row r="40" spans="2:45" x14ac:dyDescent="0.3">
      <c r="B40" s="56"/>
      <c r="C40" s="56"/>
      <c r="D40" s="56"/>
      <c r="E40" s="57"/>
      <c r="F40" s="56"/>
      <c r="G40" s="56"/>
      <c r="H40" s="56"/>
      <c r="I40" s="56"/>
      <c r="J40" s="58"/>
      <c r="K40" s="59"/>
      <c r="L40" s="58"/>
      <c r="M40" s="59"/>
      <c r="N40" s="58"/>
      <c r="O40" s="59"/>
      <c r="P40" s="58"/>
      <c r="Q40" s="59"/>
      <c r="R40" s="59"/>
      <c r="S40" s="59"/>
      <c r="T40" s="58"/>
      <c r="U40" s="59"/>
      <c r="V40" s="58"/>
      <c r="W40" s="59"/>
      <c r="X40" s="58"/>
      <c r="Y40" s="59"/>
      <c r="Z40" s="59"/>
      <c r="AA40" s="58"/>
      <c r="AB40" s="59"/>
      <c r="AC40" s="58"/>
      <c r="AD40" s="59"/>
      <c r="AE40" s="58"/>
      <c r="AF40" s="59"/>
      <c r="AG40" s="58"/>
      <c r="AH40" s="59"/>
      <c r="AI40" s="58"/>
      <c r="AJ40" s="59"/>
      <c r="AK40" s="58"/>
      <c r="AL40" s="59"/>
      <c r="AM40" s="59"/>
      <c r="AN40" s="59"/>
      <c r="AO40" s="59"/>
      <c r="AP40" s="59"/>
      <c r="AQ40" s="59"/>
      <c r="AR40" s="59"/>
      <c r="AS40" s="59"/>
    </row>
  </sheetData>
  <autoFilter ref="W1:W40" xr:uid="{9AB73705-E6F1-4635-9443-B43BC4A68070}"/>
  <phoneticPr fontId="29" type="noConversion"/>
  <hyperlinks>
    <hyperlink ref="I20" r:id="rId1" xr:uid="{E44C473D-ED45-4B6D-A788-DD216B5E32A0}"/>
  </hyperlinks>
  <pageMargins left="0.25" right="0.25" top="0.75" bottom="0.75" header="0.3" footer="0.3"/>
  <pageSetup paperSize="9" orientation="landscape"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63bf4b32-258f-4f51-ae6d-d528c608417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1D7B350F447DBE4A8BB316358008F1FC" ma:contentTypeVersion="11" ma:contentTypeDescription="Create a new document." ma:contentTypeScope="" ma:versionID="33cd147ead0060ac7241f7d9c543a554">
  <xsd:schema xmlns:xsd="http://www.w3.org/2001/XMLSchema" xmlns:xs="http://www.w3.org/2001/XMLSchema" xmlns:p="http://schemas.microsoft.com/office/2006/metadata/properties" xmlns:ns3="63bf4b32-258f-4f51-ae6d-d528c6084173" targetNamespace="http://schemas.microsoft.com/office/2006/metadata/properties" ma:root="true" ma:fieldsID="02a9f1d8c0a01aa3d71b4001f178e81f" ns3:_="">
    <xsd:import namespace="63bf4b32-258f-4f51-ae6d-d528c6084173"/>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ObjectDetectorVersions" minOccurs="0"/>
                <xsd:element ref="ns3:_activity" minOccurs="0"/>
                <xsd:element ref="ns3:MediaServiceSystemTags" minOccurs="0"/>
                <xsd:element ref="ns3:MediaServiceOCR" minOccurs="0"/>
                <xsd:element ref="ns3:MediaServiceGenerationTime" minOccurs="0"/>
                <xsd:element ref="ns3:MediaServiceEventHashCode"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3bf4b32-258f-4f51-ae6d-d528c6084173"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_activity" ma:index="13" nillable="true" ma:displayName="_activity" ma:hidden="true" ma:internalName="_activity">
      <xsd:simpleType>
        <xsd:restriction base="dms:Note"/>
      </xsd:simpleType>
    </xsd:element>
    <xsd:element name="MediaServiceSystemTags" ma:index="14" nillable="true" ma:displayName="MediaServiceSystemTags" ma:hidden="true" ma:internalName="MediaServiceSystemTags" ma:readOnly="true">
      <xsd:simpleType>
        <xsd:restriction base="dms:Note"/>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F60F037-0807-4A56-95F3-8853650C2C26}">
  <ds:schemaRefs>
    <ds:schemaRef ds:uri="http://schemas.openxmlformats.org/package/2006/metadata/core-properties"/>
    <ds:schemaRef ds:uri="http://purl.org/dc/dcmitype/"/>
    <ds:schemaRef ds:uri="http://schemas.microsoft.com/office/2006/metadata/properties"/>
    <ds:schemaRef ds:uri="http://schemas.microsoft.com/office/2006/documentManagement/types"/>
    <ds:schemaRef ds:uri="http://schemas.microsoft.com/office/infopath/2007/PartnerControls"/>
    <ds:schemaRef ds:uri="63bf4b32-258f-4f51-ae6d-d528c6084173"/>
    <ds:schemaRef ds:uri="http://purl.org/dc/elements/1.1/"/>
    <ds:schemaRef ds:uri="http://www.w3.org/XML/1998/namespace"/>
    <ds:schemaRef ds:uri="http://purl.org/dc/terms/"/>
  </ds:schemaRefs>
</ds:datastoreItem>
</file>

<file path=customXml/itemProps2.xml><?xml version="1.0" encoding="utf-8"?>
<ds:datastoreItem xmlns:ds="http://schemas.openxmlformats.org/officeDocument/2006/customXml" ds:itemID="{6750605F-A36A-4731-804C-C7EE7E55005B}">
  <ds:schemaRefs>
    <ds:schemaRef ds:uri="http://schemas.microsoft.com/sharepoint/v3/contenttype/forms"/>
  </ds:schemaRefs>
</ds:datastoreItem>
</file>

<file path=customXml/itemProps3.xml><?xml version="1.0" encoding="utf-8"?>
<ds:datastoreItem xmlns:ds="http://schemas.openxmlformats.org/officeDocument/2006/customXml" ds:itemID="{FBB5FB6E-124B-447E-B7C9-15FB6DFAF3D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3bf4b32-258f-4f51-ae6d-d528c608417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PICOC &amp; RQs</vt:lpstr>
      <vt:lpstr>search terms</vt:lpstr>
      <vt:lpstr>queries</vt:lpstr>
      <vt:lpstr>databases</vt:lpstr>
      <vt:lpstr>search hits</vt:lpstr>
      <vt:lpstr>inclusion criteria</vt:lpstr>
      <vt:lpstr>exclusion criteria</vt:lpstr>
      <vt:lpstr>QA rubrics</vt:lpstr>
      <vt:lpstr>data extraction &amp; scores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Sarah A. Alshareef</dc:creator>
  <cp:keywords/>
  <dc:description/>
  <cp:lastModifiedBy>زهور جراد حميد المالكي</cp:lastModifiedBy>
  <cp:revision/>
  <cp:lastPrinted>2026-01-17T19:38:41Z</cp:lastPrinted>
  <dcterms:created xsi:type="dcterms:W3CDTF">2025-11-02T19:13:34Z</dcterms:created>
  <dcterms:modified xsi:type="dcterms:W3CDTF">2026-01-17T19:39:37Z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0x0101001D7B350F447DBE4A8BB316358008F1FC</vt:lpwstr>
  </property>
</Properties>
</file>